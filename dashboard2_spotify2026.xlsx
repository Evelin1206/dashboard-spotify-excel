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mputador\AppData\Roaming\Microsoft\Windows\Network Shortcuts\"/>
    </mc:Choice>
  </mc:AlternateContent>
  <bookViews>
    <workbookView xWindow="0" yWindow="0" windowWidth="20490" windowHeight="9195" tabRatio="519" firstSheet="2" activeTab="4"/>
  </bookViews>
  <sheets>
    <sheet name="Plan4" sheetId="4" r:id="rId1"/>
    <sheet name="dados1_musicas" sheetId="1" r:id="rId2"/>
    <sheet name="dados2_datas_hrs" sheetId="2" r:id="rId3"/>
    <sheet name="análises" sheetId="5" r:id="rId4"/>
    <sheet name="dashboard" sheetId="6" r:id="rId5"/>
  </sheets>
  <definedNames>
    <definedName name="_xlcn.WorksheetConnection_dashboard2_spotify2026.xlsxTabela21" hidden="1">Tabela2[]</definedName>
    <definedName name="_xlcn.WorksheetConnection_dashboard2_spotify2026.xlsxTabela61" hidden="1">Tabela6[]</definedName>
    <definedName name="SegmentaçãodeDados_Artista">#N/A</definedName>
    <definedName name="SegmentaçãodeDados_Música">#N/A</definedName>
  </definedNames>
  <calcPr calcId="152511"/>
  <pivotCaches>
    <pivotCache cacheId="289" r:id="rId6"/>
    <pivotCache cacheId="290" r:id="rId7"/>
    <pivotCache cacheId="291" r:id="rId8"/>
    <pivotCache cacheId="293" r:id="rId9"/>
    <pivotCache cacheId="294" r:id="rId10"/>
    <pivotCache cacheId="295" r:id="rId11"/>
    <pivotCache cacheId="428" r:id="rId12"/>
    <pivotCache cacheId="437" r:id="rId13"/>
  </pivotCaches>
  <extLst>
    <ext xmlns:x14="http://schemas.microsoft.com/office/spreadsheetml/2009/9/main" uri="{876F7934-8845-4945-9796-88D515C7AA90}">
      <x14:pivotCaches>
        <pivotCache cacheId="265" r:id="rId14"/>
        <pivotCache cacheId="278" r:id="rId15"/>
      </x14:pivotCaches>
    </ext>
    <ext xmlns:x14="http://schemas.microsoft.com/office/spreadsheetml/2009/9/main" uri="{BBE1A952-AA13-448e-AADC-164F8A28A991}">
      <x14:slicerCaches>
        <x14:slicerCache r:id="rId16"/>
        <x14:slicerCache r:id="rId1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ela6-46a9de5b-cd51-47fb-9ec6-f33190cc157e" name="Tabela6" connection="WorksheetConnection_dashboard2_spotify2026.xlsx!Tabela6"/>
          <x15:modelTable id="Tabela2-bbb1746f-389f-4af8-ae1e-a3360f5dc3d7" name="Tabela2" connection="WorksheetConnection_dashboard2_spotify2026.xlsx!Tabela2"/>
        </x15:modelTables>
        <x15:modelRelationships>
          <x15:modelRelationship fromTable="Tabela2" fromColumn="ID" toTable="Tabela6" toColumn="Track_Id"/>
        </x15:modelRelationships>
      </x15:dataModel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I2" i="1"/>
  <c r="I3" i="1"/>
  <c r="I6" i="1"/>
  <c r="I7" i="1"/>
  <c r="I10" i="1"/>
  <c r="I11" i="1"/>
  <c r="I14" i="1"/>
  <c r="I15" i="1"/>
  <c r="I18" i="1"/>
  <c r="I19" i="1"/>
  <c r="I22" i="1"/>
  <c r="I23" i="1"/>
  <c r="I26" i="1"/>
  <c r="I27" i="1"/>
  <c r="I30" i="1"/>
  <c r="I31" i="1"/>
  <c r="I34" i="1"/>
  <c r="I35" i="1"/>
  <c r="I38" i="1"/>
  <c r="I39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I37" i="1" l="1"/>
  <c r="I33" i="1"/>
  <c r="I29" i="1"/>
  <c r="I25" i="1"/>
  <c r="I21" i="1"/>
  <c r="I17" i="1"/>
  <c r="I13" i="1"/>
  <c r="I9" i="1"/>
  <c r="I5" i="1"/>
  <c r="I36" i="1"/>
  <c r="I32" i="1"/>
  <c r="I28" i="1"/>
  <c r="I24" i="1"/>
  <c r="I20" i="1"/>
  <c r="I16" i="1"/>
  <c r="I12" i="1"/>
  <c r="I8" i="1"/>
  <c r="I4" i="1"/>
</calcChain>
</file>

<file path=xl/connections.xml><?xml version="1.0" encoding="utf-8"?>
<connections xmlns="http://schemas.openxmlformats.org/spreadsheetml/2006/main">
  <connection id="1" keepAlive="1" name="ThisWorkbookDataModel" description="Modelo de Dados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dashboard2_spotify2026.xlsx!Tabela2" type="102" refreshedVersion="5" minRefreshableVersion="5">
    <extLst>
      <ext xmlns:x15="http://schemas.microsoft.com/office/spreadsheetml/2010/11/main" uri="{DE250136-89BD-433C-8126-D09CA5730AF9}">
        <x15:connection id="Tabela2-bbb1746f-389f-4af8-ae1e-a3360f5dc3d7" autoDelete="1">
          <x15:rangePr sourceName="_xlcn.WorksheetConnection_dashboard2_spotify2026.xlsxTabela21"/>
        </x15:connection>
      </ext>
    </extLst>
  </connection>
  <connection id="3" name="WorksheetConnection_dashboard2_spotify2026.xlsx!Tabela6" type="102" refreshedVersion="5" minRefreshableVersion="5">
    <extLst>
      <ext xmlns:x15="http://schemas.microsoft.com/office/spreadsheetml/2010/11/main" uri="{DE250136-89BD-433C-8126-D09CA5730AF9}">
        <x15:connection id="Tabela6-46a9de5b-cd51-47fb-9ec6-f33190cc157e" autoDelete="1">
          <x15:rangePr sourceName="_xlcn.WorksheetConnection_dashboard2_spotify2026.xlsxTabela61"/>
        </x15:connection>
      </ext>
    </extLst>
  </connection>
</connections>
</file>

<file path=xl/sharedStrings.xml><?xml version="1.0" encoding="utf-8"?>
<sst xmlns="http://schemas.openxmlformats.org/spreadsheetml/2006/main" count="762" uniqueCount="173">
  <si>
    <t>Track_Id</t>
  </si>
  <si>
    <t>Artista</t>
  </si>
  <si>
    <t>Música</t>
  </si>
  <si>
    <t>Gênero</t>
  </si>
  <si>
    <t>Album</t>
  </si>
  <si>
    <t xml:space="preserve">Duração por segundos </t>
  </si>
  <si>
    <t>Reproduções quantd.</t>
  </si>
  <si>
    <t>T01</t>
  </si>
  <si>
    <t>Rarin</t>
  </si>
  <si>
    <t>Kompa</t>
  </si>
  <si>
    <t>hip-hop/rap</t>
  </si>
  <si>
    <t>T02</t>
  </si>
  <si>
    <t>Mwizz</t>
  </si>
  <si>
    <t>Don`t copy my flow</t>
  </si>
  <si>
    <t>afro-pop/pop</t>
  </si>
  <si>
    <t>T03</t>
  </si>
  <si>
    <t>Call Me girl</t>
  </si>
  <si>
    <t>call me girl</t>
  </si>
  <si>
    <t>T04</t>
  </si>
  <si>
    <t>03Greedo</t>
  </si>
  <si>
    <t>Substance</t>
  </si>
  <si>
    <t>still summer in the projects</t>
  </si>
  <si>
    <t>T05</t>
  </si>
  <si>
    <t>Good Girls</t>
  </si>
  <si>
    <t>still gommer in the projects</t>
  </si>
  <si>
    <t>T06</t>
  </si>
  <si>
    <t>Kaash Paige</t>
  </si>
  <si>
    <t>Love Song</t>
  </si>
  <si>
    <t>R&amp;B</t>
  </si>
  <si>
    <t>parked car convos</t>
  </si>
  <si>
    <t>T07</t>
  </si>
  <si>
    <t>Riovaz</t>
  </si>
  <si>
    <t>Prom Night</t>
  </si>
  <si>
    <t>pop</t>
  </si>
  <si>
    <t>prom night</t>
  </si>
  <si>
    <t>T08</t>
  </si>
  <si>
    <t>Jorge&amp;Mateus</t>
  </si>
  <si>
    <t>Nocaute</t>
  </si>
  <si>
    <t>sertanejo</t>
  </si>
  <si>
    <t>os anjos cantam</t>
  </si>
  <si>
    <t>T09</t>
  </si>
  <si>
    <t>Orochi</t>
  </si>
  <si>
    <t>Amor de Fim de noite</t>
  </si>
  <si>
    <t>trap</t>
  </si>
  <si>
    <t>celebridade</t>
  </si>
  <si>
    <t>T10</t>
  </si>
  <si>
    <t>Pedrosa</t>
  </si>
  <si>
    <t>Terça de Tarde</t>
  </si>
  <si>
    <t>rap/acústico</t>
  </si>
  <si>
    <t>Terça de tarde</t>
  </si>
  <si>
    <t>T11</t>
  </si>
  <si>
    <t xml:space="preserve">San Joe </t>
  </si>
  <si>
    <t>Desculpa Doutor</t>
  </si>
  <si>
    <t>rap/funk</t>
  </si>
  <si>
    <t>desculpa doutor</t>
  </si>
  <si>
    <t>T12</t>
  </si>
  <si>
    <t>Mateus&amp;Kauãn</t>
  </si>
  <si>
    <t>Na praia 2</t>
  </si>
  <si>
    <t>na praia 2</t>
  </si>
  <si>
    <t>T13</t>
  </si>
  <si>
    <t>A rosa e o beija flor</t>
  </si>
  <si>
    <t>T14</t>
  </si>
  <si>
    <t>A nossa praia</t>
  </si>
  <si>
    <t>T15</t>
  </si>
  <si>
    <t>Do teto ao chão</t>
  </si>
  <si>
    <t>T16</t>
  </si>
  <si>
    <t>O nosso santo bateu</t>
  </si>
  <si>
    <t>T17</t>
  </si>
  <si>
    <t>Exclusividade</t>
  </si>
  <si>
    <t>T18</t>
  </si>
  <si>
    <t>Menos é Mais</t>
  </si>
  <si>
    <t xml:space="preserve">Lapada dela </t>
  </si>
  <si>
    <t>pagode</t>
  </si>
  <si>
    <t>churrasquinho menos é mais</t>
  </si>
  <si>
    <t>T19</t>
  </si>
  <si>
    <t>Que sorte a nossa</t>
  </si>
  <si>
    <t>T20</t>
  </si>
  <si>
    <t>E os anjos cantam</t>
  </si>
  <si>
    <t>T21</t>
  </si>
  <si>
    <t>Felipe Amorim</t>
  </si>
  <si>
    <t>Sem lovizin</t>
  </si>
  <si>
    <t>piseiro</t>
  </si>
  <si>
    <t>sem lovizin</t>
  </si>
  <si>
    <t>T22</t>
  </si>
  <si>
    <t>Cama Embrasa</t>
  </si>
  <si>
    <t>cama embrasa</t>
  </si>
  <si>
    <t>T23</t>
  </si>
  <si>
    <t>Eu vou na sua casa</t>
  </si>
  <si>
    <t xml:space="preserve">pop </t>
  </si>
  <si>
    <t>eu vou na sua casa</t>
  </si>
  <si>
    <t>T24</t>
  </si>
  <si>
    <t>Ainda Gosto dela</t>
  </si>
  <si>
    <t>T25</t>
  </si>
  <si>
    <t>Calica</t>
  </si>
  <si>
    <t>calica</t>
  </si>
  <si>
    <t>T26</t>
  </si>
  <si>
    <t>Coisas Que sei</t>
  </si>
  <si>
    <t>T27</t>
  </si>
  <si>
    <t>Toca o Trompete</t>
  </si>
  <si>
    <t>Toca o trompete</t>
  </si>
  <si>
    <t>T28</t>
  </si>
  <si>
    <t>Eu só quero tu</t>
  </si>
  <si>
    <t>T29</t>
  </si>
  <si>
    <t>Teus Sinais</t>
  </si>
  <si>
    <t>teus sinais</t>
  </si>
  <si>
    <t>T30</t>
  </si>
  <si>
    <t>Léo Foguete</t>
  </si>
  <si>
    <t>Cópia Proíbida</t>
  </si>
  <si>
    <t>cópia proíbida</t>
  </si>
  <si>
    <t>T31</t>
  </si>
  <si>
    <t>Sotan</t>
  </si>
  <si>
    <t>Sinceramente</t>
  </si>
  <si>
    <t>sinceramente</t>
  </si>
  <si>
    <t>T32</t>
  </si>
  <si>
    <t>José Jr</t>
  </si>
  <si>
    <t>Prenda-me a Ti</t>
  </si>
  <si>
    <t>gospel</t>
  </si>
  <si>
    <t>Prenda-me a TI</t>
  </si>
  <si>
    <t>T33</t>
  </si>
  <si>
    <t>Mc Kevin</t>
  </si>
  <si>
    <t xml:space="preserve">Doutora 3 </t>
  </si>
  <si>
    <t>funk</t>
  </si>
  <si>
    <t>doutora 3</t>
  </si>
  <si>
    <t>T34</t>
  </si>
  <si>
    <t>Amar Como você</t>
  </si>
  <si>
    <t>T35</t>
  </si>
  <si>
    <t>Kemuel</t>
  </si>
  <si>
    <t>Aba</t>
  </si>
  <si>
    <t>T36</t>
  </si>
  <si>
    <t>Kaleb e Josh</t>
  </si>
  <si>
    <t xml:space="preserve">Que esse fogo não se apague </t>
  </si>
  <si>
    <t>T37</t>
  </si>
  <si>
    <t>Aviva-nos</t>
  </si>
  <si>
    <t>T38</t>
  </si>
  <si>
    <t xml:space="preserve">Até que o Senhor Venha </t>
  </si>
  <si>
    <t>Data</t>
  </si>
  <si>
    <t>Hora</t>
  </si>
  <si>
    <t>ID</t>
  </si>
  <si>
    <t>Dispositivo</t>
  </si>
  <si>
    <t>Segundos_Ouvidos</t>
  </si>
  <si>
    <t>Reprodução_Completa</t>
  </si>
  <si>
    <t>Celular</t>
  </si>
  <si>
    <t>Completo</t>
  </si>
  <si>
    <t>Computador</t>
  </si>
  <si>
    <t>Incompleto</t>
  </si>
  <si>
    <t>completo</t>
  </si>
  <si>
    <t>T6</t>
  </si>
  <si>
    <t>T7</t>
  </si>
  <si>
    <t>tablet</t>
  </si>
  <si>
    <t>incompleto</t>
  </si>
  <si>
    <t>Rótulos de Linha</t>
  </si>
  <si>
    <t>Total Geral</t>
  </si>
  <si>
    <t>Contagem de ID</t>
  </si>
  <si>
    <t>San Joe</t>
  </si>
  <si>
    <t>Tempo_Total_Segundos</t>
  </si>
  <si>
    <t>Tempo_Totl_Minutos</t>
  </si>
  <si>
    <t>Soma de Tempo_Totl_Minutos</t>
  </si>
  <si>
    <t xml:space="preserve">#qual gênero mais escuto </t>
  </si>
  <si>
    <t>#Duração dos artistas no mês</t>
  </si>
  <si>
    <t>#Qual o artista mais tocado</t>
  </si>
  <si>
    <t xml:space="preserve">#qual dispositivo mais usados </t>
  </si>
  <si>
    <t>Periodo_dia</t>
  </si>
  <si>
    <t>Madrugada</t>
  </si>
  <si>
    <t>Manhã</t>
  </si>
  <si>
    <t>Noite</t>
  </si>
  <si>
    <t>Tarde</t>
  </si>
  <si>
    <t>Contagem de Hora</t>
  </si>
  <si>
    <t>Tempo_Total_Horas</t>
  </si>
  <si>
    <t>#quantidade_reprodução_musica</t>
  </si>
  <si>
    <t xml:space="preserve">#Qual o horário que mais escutei </t>
  </si>
  <si>
    <t xml:space="preserve">top3 dias que mais ouvi </t>
  </si>
  <si>
    <t xml:space="preserve">minutos_ouvidos </t>
  </si>
  <si>
    <t>Soma de minutos_ouvidos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</si>
</sst>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0" fontId="0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164" fontId="0" fillId="0" borderId="0" xfId="0" applyNumberFormat="1"/>
    <xf numFmtId="14" fontId="0" fillId="0" borderId="0" xfId="0" applyNumberFormat="1" applyAlignment="1">
      <alignment horizontal="left"/>
    </xf>
    <xf numFmtId="10" fontId="0" fillId="0" borderId="0" xfId="0" applyNumberFormat="1"/>
    <xf numFmtId="0" fontId="0" fillId="2" borderId="0" xfId="0" applyFill="1"/>
    <xf numFmtId="2" fontId="0" fillId="0" borderId="0" xfId="0" applyNumberFormat="1" applyAlignment="1">
      <alignment horizontal="left"/>
    </xf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font>
        <sz val="54"/>
        <color theme="0"/>
      </font>
      <fill>
        <patternFill>
          <bgColor rgb="FF282828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h:mm;@"/>
    </dxf>
    <dxf>
      <numFmt numFmtId="19" formatCode="dd/mm/yyyy"/>
    </dxf>
    <dxf>
      <numFmt numFmtId="2" formatCode="0.00"/>
    </dxf>
    <dxf>
      <numFmt numFmtId="2" formatCode="0.00"/>
    </dxf>
    <dxf>
      <numFmt numFmtId="0" formatCode="General"/>
    </dxf>
    <dxf>
      <font>
        <sz val="28"/>
      </font>
      <fill>
        <patternFill>
          <bgColor rgb="FF282828"/>
        </patternFill>
      </fill>
    </dxf>
    <dxf>
      <font>
        <color rgb="FF1DB954"/>
      </font>
    </dxf>
    <dxf>
      <font>
        <color rgb="FF1DB954"/>
      </font>
    </dxf>
    <dxf>
      <font>
        <color rgb="FF1DB954"/>
      </font>
    </dxf>
    <dxf>
      <font>
        <color rgb="FF1DB954"/>
      </font>
    </dxf>
  </dxfs>
  <tableStyles count="6" defaultTableStyle="TableStyleMedium2" defaultPivotStyle="PivotStyleLight16">
    <tableStyle name="Estilo de Segmentação de Dados 1" pivot="0" table="0" count="3">
      <tableStyleElement type="wholeTable" dxfId="25"/>
    </tableStyle>
    <tableStyle name="Estilo de Segmentação de Dados 2" pivot="0" table="0" count="5">
      <tableStyleElement type="wholeTable" dxfId="24"/>
    </tableStyle>
    <tableStyle name="Estilo de Segmentação de Dados 3" pivot="0" table="0" count="7">
      <tableStyleElement type="wholeTable" dxfId="23"/>
      <tableStyleElement type="headerRow" dxfId="22"/>
    </tableStyle>
    <tableStyle name="Estilo de Segmentação de Dados 4" pivot="0" table="0" count="2"/>
    <tableStyle name="Estilo de Segmentação de Dados 5" pivot="0" table="0" count="5">
      <tableStyleElement type="wholeTable" dxfId="21"/>
    </tableStyle>
    <tableStyle name="Estilo de Segmentação de Dados 5 2" pivot="0" table="0" count="5">
      <tableStyleElement type="wholeTable" dxfId="4"/>
    </tableStyle>
  </tableStyles>
  <colors>
    <mruColors>
      <color rgb="FF1DB954"/>
      <color rgb="FF282828"/>
      <color rgb="FF70AD47"/>
    </mruColors>
  </colors>
  <extLst>
    <ext xmlns:x14="http://schemas.microsoft.com/office/spreadsheetml/2009/9/main" uri="{46F421CA-312F-682f-3DD2-61675219B42D}">
      <x14:dxfs count="21">
        <dxf>
          <font>
            <sz val="54"/>
            <color theme="0"/>
          </font>
          <fill>
            <patternFill>
              <bgColor theme="5" tint="0.59996337778862885"/>
            </patternFill>
          </fill>
        </dxf>
        <dxf>
          <font>
            <sz val="54"/>
            <color theme="0"/>
          </font>
          <fill>
            <patternFill>
              <bgColor theme="9" tint="0.39994506668294322"/>
            </patternFill>
          </fill>
        </dxf>
        <dxf>
          <font>
            <sz val="54"/>
            <color theme="0"/>
          </font>
          <fill>
            <patternFill>
              <bgColor theme="5" tint="0.59996337778862885"/>
            </patternFill>
          </fill>
        </dxf>
        <dxf>
          <font>
            <sz val="54"/>
            <color theme="0"/>
          </font>
          <fill>
            <patternFill>
              <bgColor theme="9" tint="0.39994506668294322"/>
            </patternFill>
          </fill>
        </dxf>
        <dxf>
          <font>
            <sz val="28"/>
            <color theme="0"/>
          </font>
          <fill>
            <patternFill>
              <bgColor theme="5" tint="0.59996337778862885"/>
            </patternFill>
          </fill>
        </dxf>
        <dxf>
          <font>
            <sz val="28"/>
            <color theme="0"/>
          </font>
          <fill>
            <patternFill>
              <bgColor theme="9" tint="0.39994506668294322"/>
            </patternFill>
          </fill>
        </dxf>
        <dxf>
          <font>
            <sz val="28"/>
            <color theme="0"/>
          </font>
          <fill>
            <patternFill>
              <bgColor theme="5" tint="0.59996337778862885"/>
            </patternFill>
          </fill>
        </dxf>
        <dxf>
          <font>
            <sz val="28"/>
            <color theme="0"/>
          </font>
          <fill>
            <patternFill>
              <bgColor theme="9" tint="0.39994506668294322"/>
            </patternFill>
          </fill>
        </dxf>
        <dxf>
          <font>
            <color rgb="FFC00000"/>
          </font>
        </dxf>
        <dxf>
          <font>
            <color theme="9" tint="-0.499984740745262"/>
          </font>
        </dxf>
        <dxf>
          <font>
            <color theme="2" tint="-0.499984740745262"/>
          </font>
        </dxf>
        <dxf>
          <font>
            <color theme="9" tint="-0.499984740745262"/>
          </font>
        </dxf>
        <dxf>
          <font>
            <color theme="2" tint="-0.499984740745262"/>
          </font>
        </dxf>
        <dxf>
          <font>
            <color theme="9" tint="-0.499984740745262"/>
          </font>
        </dxf>
        <dxf>
          <font>
            <color theme="2" tint="-0.24994659260841701"/>
          </font>
        </dxf>
        <dxf>
          <font>
            <color theme="2" tint="-0.499984740745262"/>
          </font>
        </dxf>
        <dxf>
          <font>
            <color theme="9" tint="0.39994506668294322"/>
          </font>
        </dxf>
        <dxf>
          <font>
            <color theme="6" tint="0.39994506668294322"/>
          </font>
        </dxf>
        <dxf>
          <font>
            <color theme="9" tint="0.39994506668294322"/>
          </font>
        </dxf>
        <dxf>
          <font>
            <color theme="6"/>
          </font>
        </dxf>
        <dxf>
          <font>
            <color theme="9" tint="0.39994506668294322"/>
          </font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20"/>
            <x14:slicerStyleElement type="selectedItemWithNoData" dxfId="19"/>
          </x14:slicerStyleElements>
        </x14:slicerStyle>
        <x14:slicerStyle name="Estilo de Segmentação de Dados 2">
          <x14:slicerStyleElements>
            <x14:slicerStyleElement type="selectedItemWithData" dxfId="18"/>
            <x14:slicerStyleElement type="selectedItemWithNoData" dxfId="17"/>
            <x14:slicerStyleElement type="hoveredSelectedItemWithData" dxfId="16"/>
            <x14:slicerStyleElement type="hoveredSelectedItemWithNoData" dxfId="15"/>
          </x14:slicerStyleElements>
        </x14:slicerStyle>
        <x14:slicerStyle name="Estilo de Segmentação de Dados 3">
          <x14:slicerStyleElements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SelectedItemWithData" dxfId="11"/>
            <x14:slicerStyleElement type="hoveredSelectedItemWithNoData" dxfId="10"/>
          </x14:slicerStyleElements>
        </x14:slicerStyle>
        <x14:slicerStyle name="Estilo de Segmentação de Dados 4">
          <x14:slicerStyleElements>
            <x14:slicerStyleElement type="selectedItemWithData" dxfId="9"/>
            <x14:slicerStyleElement type="selectedItemWithNoData" dxfId="8"/>
          </x14:slicerStyleElements>
        </x14:slicerStyle>
        <x14:slicerStyle name="Estilo de Segmentação de Dados 5">
          <x14:slicerStyleElements>
            <x14:slicerStyleElement type="selectedItemWithData" dxfId="7"/>
            <x14:slicerStyleElement type="selectedItemWithNoData" dxfId="6"/>
            <x14:slicerStyleElement type="hoveredSelectedItemWithData" dxfId="5"/>
            <x14:slicerStyleElement type="hoveredSelectedItemWithNoData" dxfId="4"/>
          </x14:slicerStyleElements>
        </x14:slicerStyle>
        <x14:slicerStyle name="Estilo de Segmentação de Dados 5 2">
          <x14:slicerStyleElements>
            <x14:slicerStyleElement type="selectedItemWithData" dxfId="3"/>
            <x14:slicerStyleElement type="selectedItemWithNoData" dxfId="2"/>
            <x14:slicerStyleElement type="hoveredSelectedItemWith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pivotCacheDefinition" Target="pivotCache/pivotCacheDefinition8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7.xml"/><Relationship Id="rId17" Type="http://schemas.microsoft.com/office/2007/relationships/slicerCache" Target="slicerCaches/slicerCache2.xml"/><Relationship Id="rId2" Type="http://schemas.openxmlformats.org/officeDocument/2006/relationships/worksheet" Target="worksheets/sheet2.xml"/><Relationship Id="rId16" Type="http://schemas.microsoft.com/office/2007/relationships/slicerCache" Target="slicerCaches/slicerCache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0.xml"/><Relationship Id="rId23" Type="http://schemas.openxmlformats.org/officeDocument/2006/relationships/calcChain" Target="calcChain.xml"/><Relationship Id="rId10" Type="http://schemas.openxmlformats.org/officeDocument/2006/relationships/pivotCacheDefinition" Target="pivotCache/pivotCacheDefinition5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pivotCacheDefinition" Target="pivotCache/pivotCacheDefinition9.xml"/><Relationship Id="rId22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[dashboard2_spotify2026.xlsx]análises!Tabela dinâmica7</c:name>
    <c:fmtId val="1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gradFill flip="none" rotWithShape="1">
            <a:gsLst>
              <a:gs pos="0">
                <a:srgbClr val="1DB954">
                  <a:shade val="30000"/>
                  <a:satMod val="115000"/>
                </a:srgbClr>
              </a:gs>
              <a:gs pos="50000">
                <a:srgbClr val="1DB954">
                  <a:shade val="67500"/>
                  <a:satMod val="115000"/>
                </a:srgbClr>
              </a:gs>
              <a:gs pos="100000">
                <a:srgbClr val="1DB954">
                  <a:shade val="100000"/>
                  <a:satMod val="115000"/>
                </a:srgbClr>
              </a:gs>
            </a:gsLst>
            <a:lin ang="0" scaled="1"/>
            <a:tileRect/>
          </a:gra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7460914627724608"/>
          <c:y val="6.6828226671445209E-2"/>
          <c:w val="0.79201497050003455"/>
          <c:h val="0.8633397796127776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análises!$B$3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rgbClr val="1DB954">
                    <a:shade val="30000"/>
                    <a:satMod val="115000"/>
                  </a:srgbClr>
                </a:gs>
                <a:gs pos="50000">
                  <a:srgbClr val="1DB954">
                    <a:shade val="67500"/>
                    <a:satMod val="115000"/>
                  </a:srgbClr>
                </a:gs>
                <a:gs pos="100000">
                  <a:srgbClr val="1DB954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análises!$A$4:$A$22</c:f>
              <c:strCache>
                <c:ptCount val="18"/>
                <c:pt idx="0">
                  <c:v>Kemuel</c:v>
                </c:pt>
                <c:pt idx="1">
                  <c:v>Mc Kevin</c:v>
                </c:pt>
                <c:pt idx="2">
                  <c:v>Riovaz</c:v>
                </c:pt>
                <c:pt idx="3">
                  <c:v>Kaash Paige</c:v>
                </c:pt>
                <c:pt idx="4">
                  <c:v>Sotan</c:v>
                </c:pt>
                <c:pt idx="5">
                  <c:v>Léo Foguete</c:v>
                </c:pt>
                <c:pt idx="6">
                  <c:v>Kaleb e Josh</c:v>
                </c:pt>
                <c:pt idx="7">
                  <c:v>José Jr</c:v>
                </c:pt>
                <c:pt idx="8">
                  <c:v>Pedrosa</c:v>
                </c:pt>
                <c:pt idx="9">
                  <c:v>Menos é Mais</c:v>
                </c:pt>
                <c:pt idx="10">
                  <c:v>Jorge&amp;Mateus</c:v>
                </c:pt>
                <c:pt idx="11">
                  <c:v>Orochi</c:v>
                </c:pt>
                <c:pt idx="12">
                  <c:v>San Joe</c:v>
                </c:pt>
                <c:pt idx="13">
                  <c:v>03Greedo</c:v>
                </c:pt>
                <c:pt idx="14">
                  <c:v>Mwizz</c:v>
                </c:pt>
                <c:pt idx="15">
                  <c:v>Rarin</c:v>
                </c:pt>
                <c:pt idx="16">
                  <c:v>Mateus&amp;Kauãn</c:v>
                </c:pt>
                <c:pt idx="17">
                  <c:v>Felipe Amorim</c:v>
                </c:pt>
              </c:strCache>
            </c:strRef>
          </c:cat>
          <c:val>
            <c:numRef>
              <c:f>análises!$B$4:$B$22</c:f>
              <c:numCache>
                <c:formatCode>General</c:formatCode>
                <c:ptCount val="18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6</c:v>
                </c:pt>
                <c:pt idx="8">
                  <c:v>6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9</c:v>
                </c:pt>
                <c:pt idx="14">
                  <c:v>12</c:v>
                </c:pt>
                <c:pt idx="15">
                  <c:v>14</c:v>
                </c:pt>
                <c:pt idx="16">
                  <c:v>28</c:v>
                </c:pt>
                <c:pt idx="17">
                  <c:v>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8484656"/>
        <c:axId val="238474320"/>
      </c:barChart>
      <c:catAx>
        <c:axId val="238484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bg1"/>
                </a:solidFill>
                <a:latin typeface="Yu Gothic Medium" panose="020B0500000000000000" pitchFamily="34" charset="-128"/>
                <a:ea typeface="Yu Gothic Medium" panose="020B0500000000000000" pitchFamily="34" charset="-128"/>
                <a:cs typeface="+mn-cs"/>
              </a:defRPr>
            </a:pPr>
            <a:endParaRPr lang="pt-BR"/>
          </a:p>
        </c:txPr>
        <c:crossAx val="238474320"/>
        <c:crosses val="autoZero"/>
        <c:auto val="1"/>
        <c:lblAlgn val="ctr"/>
        <c:lblOffset val="100"/>
        <c:noMultiLvlLbl val="0"/>
      </c:catAx>
      <c:valAx>
        <c:axId val="238474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8484656"/>
        <c:crosses val="autoZero"/>
        <c:crossBetween val="between"/>
      </c:valAx>
      <c:spPr>
        <a:solidFill>
          <a:schemeClr val="tx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[dashboard2_spotify2026.xlsx]análises!Tabela dinâmica11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rgbClr val="282828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4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 w="19050">
            <a:solidFill>
              <a:srgbClr val="282828"/>
            </a:solidFill>
          </a:ln>
          <a:effectLst/>
        </c:spPr>
      </c:pivotFmt>
      <c:pivotFmt>
        <c:idx val="7"/>
        <c:spPr>
          <a:solidFill>
            <a:srgbClr val="70AD47"/>
          </a:solidFill>
          <a:ln w="19050">
            <a:solidFill>
              <a:srgbClr val="282828"/>
            </a:solidFill>
          </a:ln>
          <a:effectLst/>
        </c:spPr>
      </c:pivotFmt>
      <c:pivotFmt>
        <c:idx val="8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rgbClr val="282828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1591801981690087"/>
          <c:y val="4.0197860864652997E-2"/>
          <c:w val="0.72731696142623981"/>
          <c:h val="0.94426852438252062"/>
        </c:manualLayout>
      </c:layout>
      <c:doughnutChart>
        <c:varyColors val="1"/>
        <c:ser>
          <c:idx val="0"/>
          <c:order val="0"/>
          <c:tx>
            <c:strRef>
              <c:f>análises!$N$3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rgbClr val="282828"/>
              </a:solidFill>
            </a:ln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rgbClr val="282828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70AD47"/>
              </a:solidFill>
              <a:ln w="19050">
                <a:solidFill>
                  <a:srgbClr val="282828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rgbClr val="282828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4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análises!$M$4:$M$7</c:f>
              <c:strCache>
                <c:ptCount val="3"/>
                <c:pt idx="0">
                  <c:v>Celular</c:v>
                </c:pt>
                <c:pt idx="1">
                  <c:v>Computador</c:v>
                </c:pt>
                <c:pt idx="2">
                  <c:v>tablet</c:v>
                </c:pt>
              </c:strCache>
            </c:strRef>
          </c:cat>
          <c:val>
            <c:numRef>
              <c:f>análises!$N$4:$N$7</c:f>
              <c:numCache>
                <c:formatCode>General</c:formatCode>
                <c:ptCount val="3"/>
                <c:pt idx="0">
                  <c:v>101</c:v>
                </c:pt>
                <c:pt idx="1">
                  <c:v>37</c:v>
                </c:pt>
                <c:pt idx="2">
                  <c:v>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3.2374692889416211E-2"/>
          <c:y val="5.8874247981334726E-2"/>
          <c:w val="0.2636129387936097"/>
          <c:h val="0.311659377229641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baseline="0">
              <a:solidFill>
                <a:schemeClr val="bg1"/>
              </a:solidFill>
              <a:latin typeface="Bahnschrift Light" panose="020B0502040204020203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[dashboard2_spotify2026.xlsx]análises!Tabela dinâmica12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>
              <a:lumMod val="75000"/>
            </a:schemeClr>
          </a:solidFill>
          <a:ln w="19050">
            <a:solidFill>
              <a:srgbClr val="282828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4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6">
              <a:lumMod val="75000"/>
            </a:schemeClr>
          </a:solidFill>
          <a:ln w="19050">
            <a:solidFill>
              <a:srgbClr val="282828"/>
            </a:solidFill>
          </a:ln>
          <a:effectLst/>
        </c:spPr>
      </c:pivotFmt>
      <c:pivotFmt>
        <c:idx val="8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rgbClr val="282828"/>
            </a:solidFill>
          </a:ln>
          <a:effectLst/>
        </c:spPr>
      </c:pivotFmt>
      <c:pivotFmt>
        <c:idx val="9"/>
        <c:spPr>
          <a:solidFill>
            <a:srgbClr val="70AD47"/>
          </a:solidFill>
          <a:ln w="19050">
            <a:solidFill>
              <a:srgbClr val="282828"/>
            </a:solidFill>
          </a:ln>
          <a:effectLst/>
        </c:spPr>
      </c:pivotFmt>
      <c:pivotFmt>
        <c:idx val="10"/>
        <c:spPr>
          <a:solidFill>
            <a:srgbClr val="00B050"/>
          </a:solidFill>
          <a:ln w="19050">
            <a:solidFill>
              <a:srgbClr val="282828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7294913942208837"/>
          <c:y val="5.4977737062996662E-2"/>
          <c:w val="0.61127669959511943"/>
          <c:h val="0.93869427135925376"/>
        </c:manualLayout>
      </c:layout>
      <c:doughnutChart>
        <c:varyColors val="1"/>
        <c:ser>
          <c:idx val="0"/>
          <c:order val="0"/>
          <c:tx>
            <c:strRef>
              <c:f>análises!$N$11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rgbClr val="282828"/>
              </a:solidFill>
            </a:ln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rgbClr val="282828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rgbClr val="282828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70AD47"/>
              </a:solidFill>
              <a:ln w="19050">
                <a:solidFill>
                  <a:srgbClr val="282828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00B050"/>
              </a:solidFill>
              <a:ln w="19050">
                <a:solidFill>
                  <a:srgbClr val="282828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4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análises!$M$12:$M$16</c:f>
              <c:strCache>
                <c:ptCount val="4"/>
                <c:pt idx="0">
                  <c:v>Manhã</c:v>
                </c:pt>
                <c:pt idx="1">
                  <c:v>Noite</c:v>
                </c:pt>
                <c:pt idx="2">
                  <c:v>Tarde</c:v>
                </c:pt>
                <c:pt idx="3">
                  <c:v>Madrugada</c:v>
                </c:pt>
              </c:strCache>
            </c:strRef>
          </c:cat>
          <c:val>
            <c:numRef>
              <c:f>análises!$N$12:$N$16</c:f>
              <c:numCache>
                <c:formatCode>General</c:formatCode>
                <c:ptCount val="4"/>
                <c:pt idx="0">
                  <c:v>59</c:v>
                </c:pt>
                <c:pt idx="1">
                  <c:v>53</c:v>
                </c:pt>
                <c:pt idx="2">
                  <c:v>47</c:v>
                </c:pt>
                <c:pt idx="3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3250117928807812E-3"/>
          <c:y val="2.7875469581087529E-2"/>
          <c:w val="0.27963956118388428"/>
          <c:h val="0.394816676963718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0" i="0" u="none" strike="noStrike" kern="1200" baseline="0">
              <a:solidFill>
                <a:schemeClr val="bg1"/>
              </a:solidFill>
              <a:latin typeface="Bahnschrift Light" panose="020B0502040204020203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[dashboard2_spotify2026.xlsx]análises!Tabela dinâmica9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gradFill flip="none" rotWithShape="1">
            <a:gsLst>
              <a:gs pos="0">
                <a:srgbClr val="1DB954">
                  <a:shade val="30000"/>
                  <a:satMod val="115000"/>
                </a:srgbClr>
              </a:gs>
              <a:gs pos="50000">
                <a:srgbClr val="1DB954">
                  <a:shade val="67500"/>
                  <a:satMod val="115000"/>
                </a:srgbClr>
              </a:gs>
              <a:gs pos="100000">
                <a:srgbClr val="1DB954">
                  <a:shade val="100000"/>
                  <a:satMod val="115000"/>
                </a:srgbClr>
              </a:gs>
            </a:gsLst>
            <a:lin ang="0" scaled="1"/>
            <a:tileRect/>
          </a:gra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665705896552116"/>
          <c:y val="7.5572111414919218E-3"/>
          <c:w val="0.80572331832250743"/>
          <c:h val="0.9168417911391252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análises!$H$3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rgbClr val="1DB954">
                    <a:shade val="30000"/>
                    <a:satMod val="115000"/>
                  </a:srgbClr>
                </a:gs>
                <a:gs pos="50000">
                  <a:srgbClr val="1DB954">
                    <a:shade val="67500"/>
                    <a:satMod val="115000"/>
                  </a:srgbClr>
                </a:gs>
                <a:gs pos="100000">
                  <a:srgbClr val="1DB954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análises!$G$4:$G$16</c:f>
              <c:strCache>
                <c:ptCount val="12"/>
                <c:pt idx="0">
                  <c:v>funk</c:v>
                </c:pt>
                <c:pt idx="1">
                  <c:v>R&amp;B</c:v>
                </c:pt>
                <c:pt idx="2">
                  <c:v>rap/acústico</c:v>
                </c:pt>
                <c:pt idx="3">
                  <c:v>pagode</c:v>
                </c:pt>
                <c:pt idx="4">
                  <c:v>rap/funk</c:v>
                </c:pt>
                <c:pt idx="5">
                  <c:v>trap</c:v>
                </c:pt>
                <c:pt idx="6">
                  <c:v>gospel</c:v>
                </c:pt>
                <c:pt idx="7">
                  <c:v>afro-pop/pop</c:v>
                </c:pt>
                <c:pt idx="8">
                  <c:v>piseiro</c:v>
                </c:pt>
                <c:pt idx="9">
                  <c:v>hip-hop/rap</c:v>
                </c:pt>
                <c:pt idx="10">
                  <c:v>pop</c:v>
                </c:pt>
                <c:pt idx="11">
                  <c:v>sertanejo</c:v>
                </c:pt>
              </c:strCache>
            </c:strRef>
          </c:cat>
          <c:val>
            <c:numRef>
              <c:f>análises!$H$4:$H$16</c:f>
              <c:numCache>
                <c:formatCode>General</c:formatCode>
                <c:ptCount val="12"/>
                <c:pt idx="0">
                  <c:v>1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11</c:v>
                </c:pt>
                <c:pt idx="7">
                  <c:v>12</c:v>
                </c:pt>
                <c:pt idx="8">
                  <c:v>20</c:v>
                </c:pt>
                <c:pt idx="9">
                  <c:v>23</c:v>
                </c:pt>
                <c:pt idx="10">
                  <c:v>26</c:v>
                </c:pt>
                <c:pt idx="11">
                  <c:v>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8481936"/>
        <c:axId val="238482480"/>
      </c:barChart>
      <c:catAx>
        <c:axId val="238481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3200" b="0" i="0" u="none" strike="noStrike" kern="1200" baseline="0">
                <a:solidFill>
                  <a:schemeClr val="bg1"/>
                </a:solidFill>
                <a:latin typeface="Yu Gothic Medium" panose="020B0500000000000000" pitchFamily="34" charset="-128"/>
                <a:ea typeface="Yu Gothic Medium" panose="020B0500000000000000" pitchFamily="34" charset="-128"/>
                <a:cs typeface="+mn-cs"/>
              </a:defRPr>
            </a:pPr>
            <a:endParaRPr lang="pt-BR"/>
          </a:p>
        </c:txPr>
        <c:crossAx val="238482480"/>
        <c:crosses val="autoZero"/>
        <c:auto val="1"/>
        <c:lblAlgn val="ctr"/>
        <c:lblOffset val="100"/>
        <c:noMultiLvlLbl val="0"/>
      </c:catAx>
      <c:valAx>
        <c:axId val="238482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3200" b="0" i="0" u="none" strike="noStrike" kern="1200" baseline="0">
                <a:solidFill>
                  <a:schemeClr val="bg1"/>
                </a:solidFill>
                <a:latin typeface="Yu Gothic Medium" panose="020B0500000000000000" pitchFamily="34" charset="-128"/>
                <a:ea typeface="Yu Gothic Medium" panose="020B0500000000000000" pitchFamily="34" charset="-128"/>
                <a:cs typeface="+mn-cs"/>
              </a:defRPr>
            </a:pPr>
            <a:endParaRPr lang="pt-BR"/>
          </a:p>
        </c:txPr>
        <c:crossAx val="238481936"/>
        <c:crosses val="autoZero"/>
        <c:crossBetween val="between"/>
      </c:valAx>
      <c:spPr>
        <a:solidFill>
          <a:schemeClr val="tx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 algn="ctr">
        <a:defRPr lang="pt-BR" sz="3200" b="0" i="0" u="none" strike="noStrike" kern="1200" baseline="0">
          <a:solidFill>
            <a:schemeClr val="bg1"/>
          </a:solidFill>
          <a:latin typeface="Yu Gothic Medium" panose="020B0500000000000000" pitchFamily="34" charset="-128"/>
          <a:ea typeface="Yu Gothic Medium" panose="020B0500000000000000" pitchFamily="34" charset="-128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88</xdr:col>
      <xdr:colOff>476250</xdr:colOff>
      <xdr:row>0</xdr:row>
      <xdr:rowOff>0</xdr:rowOff>
    </xdr:from>
    <xdr:to>
      <xdr:col>105</xdr:col>
      <xdr:colOff>428625</xdr:colOff>
      <xdr:row>123</xdr:row>
      <xdr:rowOff>142876</xdr:rowOff>
    </xdr:to>
    <xdr:sp macro="" textlink="">
      <xdr:nvSpPr>
        <xdr:cNvPr id="13" name="Retângulo de cantos arredondados 12"/>
        <xdr:cNvSpPr/>
      </xdr:nvSpPr>
      <xdr:spPr>
        <a:xfrm>
          <a:off x="54959250" y="0"/>
          <a:ext cx="10477500" cy="23574376"/>
        </a:xfrm>
        <a:prstGeom prst="roundRect">
          <a:avLst>
            <a:gd name="adj" fmla="val 18175"/>
          </a:avLst>
        </a:prstGeom>
        <a:solidFill>
          <a:srgbClr val="282828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317499</xdr:colOff>
      <xdr:row>31</xdr:row>
      <xdr:rowOff>142875</xdr:rowOff>
    </xdr:from>
    <xdr:to>
      <xdr:col>31</xdr:col>
      <xdr:colOff>190499</xdr:colOff>
      <xdr:row>109</xdr:row>
      <xdr:rowOff>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578949</xdr:colOff>
      <xdr:row>6</xdr:row>
      <xdr:rowOff>26743</xdr:rowOff>
    </xdr:from>
    <xdr:to>
      <xdr:col>38</xdr:col>
      <xdr:colOff>30529</xdr:colOff>
      <xdr:row>22</xdr:row>
      <xdr:rowOff>70216</xdr:rowOff>
    </xdr:to>
    <xdr:sp macro="" textlink="análises!E4">
      <xdr:nvSpPr>
        <xdr:cNvPr id="4" name="Retângulo de cantos arredondados 3"/>
        <xdr:cNvSpPr/>
      </xdr:nvSpPr>
      <xdr:spPr>
        <a:xfrm>
          <a:off x="13080512" y="1217368"/>
          <a:ext cx="9571892" cy="3218473"/>
        </a:xfrm>
        <a:prstGeom prst="roundRect">
          <a:avLst/>
        </a:prstGeom>
        <a:solidFill>
          <a:srgbClr val="282828"/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bIns="0" rtlCol="0" anchor="ctr"/>
        <a:lstStyle/>
        <a:p>
          <a:pPr algn="ctr"/>
          <a:fld id="{A149191E-AAE9-440A-ACE6-05E2552641DD}" type="TxLink">
            <a:rPr lang="en-US" sz="9600" b="1" i="0" u="none" strike="noStrike">
              <a:solidFill>
                <a:srgbClr val="1DB954"/>
              </a:solidFill>
              <a:latin typeface="Calibri"/>
              <a:cs typeface="Calibri"/>
            </a:rPr>
            <a:pPr algn="ctr"/>
            <a:t>118,23</a:t>
          </a:fld>
          <a:endParaRPr lang="pt-BR" sz="9600" b="1">
            <a:solidFill>
              <a:srgbClr val="1DB954"/>
            </a:solidFill>
          </a:endParaRPr>
        </a:p>
      </xdr:txBody>
    </xdr:sp>
    <xdr:clientData/>
  </xdr:twoCellAnchor>
  <xdr:twoCellAnchor>
    <xdr:from>
      <xdr:col>24</xdr:col>
      <xdr:colOff>152643</xdr:colOff>
      <xdr:row>7</xdr:row>
      <xdr:rowOff>23691</xdr:rowOff>
    </xdr:from>
    <xdr:to>
      <xdr:col>35</xdr:col>
      <xdr:colOff>503725</xdr:colOff>
      <xdr:row>11</xdr:row>
      <xdr:rowOff>146173</xdr:rowOff>
    </xdr:to>
    <xdr:sp macro="" textlink="análises!D4">
      <xdr:nvSpPr>
        <xdr:cNvPr id="5" name="Retângulo 4"/>
        <xdr:cNvSpPr/>
      </xdr:nvSpPr>
      <xdr:spPr>
        <a:xfrm>
          <a:off x="14440143" y="1412754"/>
          <a:ext cx="6899520" cy="916232"/>
        </a:xfrm>
        <a:prstGeom prst="rect">
          <a:avLst/>
        </a:prstGeom>
        <a:solidFill>
          <a:srgbClr val="28282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C4B8B429-6DC1-41EC-80CF-AC5DB084B25C}" type="TxLink">
            <a:rPr lang="en-US" sz="4800" b="0" i="0" u="none" strike="noStrike">
              <a:solidFill>
                <a:schemeClr val="bg1"/>
              </a:solidFill>
              <a:latin typeface="Palatino Linotype" panose="02040502050505030304" pitchFamily="18" charset="0"/>
              <a:cs typeface="Calibri"/>
            </a:rPr>
            <a:pPr algn="ctr"/>
            <a:t>Felipe Amorim</a:t>
          </a:fld>
          <a:endParaRPr lang="pt-BR" sz="4800">
            <a:solidFill>
              <a:schemeClr val="bg1"/>
            </a:solidFill>
            <a:latin typeface="Palatino Linotype" panose="02040502050505030304" pitchFamily="18" charset="0"/>
          </a:endParaRPr>
        </a:p>
      </xdr:txBody>
    </xdr:sp>
    <xdr:clientData/>
  </xdr:twoCellAnchor>
  <xdr:twoCellAnchor>
    <xdr:from>
      <xdr:col>23</xdr:col>
      <xdr:colOff>409086</xdr:colOff>
      <xdr:row>17</xdr:row>
      <xdr:rowOff>168398</xdr:rowOff>
    </xdr:from>
    <xdr:to>
      <xdr:col>37</xdr:col>
      <xdr:colOff>225914</xdr:colOff>
      <xdr:row>20</xdr:row>
      <xdr:rowOff>146173</xdr:rowOff>
    </xdr:to>
    <xdr:sp macro="" textlink="">
      <xdr:nvSpPr>
        <xdr:cNvPr id="6" name="Retângulo 5"/>
        <xdr:cNvSpPr/>
      </xdr:nvSpPr>
      <xdr:spPr>
        <a:xfrm>
          <a:off x="14101274" y="3541836"/>
          <a:ext cx="8151203" cy="573087"/>
        </a:xfrm>
        <a:prstGeom prst="rect">
          <a:avLst/>
        </a:prstGeom>
        <a:solidFill>
          <a:srgbClr val="28282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4400" b="0" i="0" u="none" strike="noStrike">
              <a:solidFill>
                <a:schemeClr val="bg1"/>
              </a:solidFill>
              <a:latin typeface="Palatino Linotype" panose="02040502050505030304" pitchFamily="18" charset="0"/>
              <a:ea typeface="+mn-ea"/>
              <a:cs typeface="Calibri"/>
            </a:rPr>
            <a:t>MINUTOS ESCUTADOS(MÊS)</a:t>
          </a:r>
        </a:p>
      </xdr:txBody>
    </xdr:sp>
    <xdr:clientData/>
  </xdr:twoCellAnchor>
  <xdr:twoCellAnchor editAs="oneCell">
    <xdr:from>
      <xdr:col>0</xdr:col>
      <xdr:colOff>37016</xdr:colOff>
      <xdr:row>1</xdr:row>
      <xdr:rowOff>40266</xdr:rowOff>
    </xdr:from>
    <xdr:to>
      <xdr:col>19</xdr:col>
      <xdr:colOff>98425</xdr:colOff>
      <xdr:row>18</xdr:row>
      <xdr:rowOff>47625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16" y="230766"/>
          <a:ext cx="11824784" cy="3245859"/>
        </a:xfrm>
        <a:prstGeom prst="rect">
          <a:avLst/>
        </a:prstGeom>
      </xdr:spPr>
    </xdr:pic>
    <xdr:clientData/>
  </xdr:twoCellAnchor>
  <xdr:twoCellAnchor>
    <xdr:from>
      <xdr:col>36</xdr:col>
      <xdr:colOff>142874</xdr:colOff>
      <xdr:row>36</xdr:row>
      <xdr:rowOff>99684</xdr:rowOff>
    </xdr:from>
    <xdr:to>
      <xdr:col>53</xdr:col>
      <xdr:colOff>47624</xdr:colOff>
      <xdr:row>71</xdr:row>
      <xdr:rowOff>95250</xdr:rowOff>
    </xdr:to>
    <xdr:graphicFrame macro="">
      <xdr:nvGraphicFramePr>
        <xdr:cNvPr id="12" name="Gráfico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63</xdr:col>
      <xdr:colOff>333375</xdr:colOff>
      <xdr:row>28</xdr:row>
      <xdr:rowOff>181065</xdr:rowOff>
    </xdr:from>
    <xdr:to>
      <xdr:col>82</xdr:col>
      <xdr:colOff>476250</xdr:colOff>
      <xdr:row>33</xdr:row>
      <xdr:rowOff>47625</xdr:rowOff>
    </xdr:to>
    <xdr:sp macro="" textlink="">
      <xdr:nvSpPr>
        <xdr:cNvPr id="14" name="Retângulo 13"/>
        <xdr:cNvSpPr/>
      </xdr:nvSpPr>
      <xdr:spPr>
        <a:xfrm>
          <a:off x="39338250" y="5515065"/>
          <a:ext cx="11906250" cy="8190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4800">
              <a:solidFill>
                <a:schemeClr val="bg1"/>
              </a:solidFill>
            </a:rPr>
            <a:t>Gêneros</a:t>
          </a:r>
          <a:r>
            <a:rPr lang="pt-BR" sz="4800" baseline="0">
              <a:solidFill>
                <a:schemeClr val="bg1"/>
              </a:solidFill>
            </a:rPr>
            <a:t> mais ouvidos do mês</a:t>
          </a:r>
          <a:endParaRPr lang="pt-BR" sz="4800">
            <a:solidFill>
              <a:schemeClr val="bg1"/>
            </a:solidFill>
          </a:endParaRPr>
        </a:p>
      </xdr:txBody>
    </xdr:sp>
    <xdr:clientData/>
  </xdr:twoCellAnchor>
  <xdr:twoCellAnchor>
    <xdr:from>
      <xdr:col>36</xdr:col>
      <xdr:colOff>142875</xdr:colOff>
      <xdr:row>77</xdr:row>
      <xdr:rowOff>71151</xdr:rowOff>
    </xdr:from>
    <xdr:to>
      <xdr:col>52</xdr:col>
      <xdr:colOff>571500</xdr:colOff>
      <xdr:row>114</xdr:row>
      <xdr:rowOff>63501</xdr:rowOff>
    </xdr:to>
    <xdr:graphicFrame macro="">
      <xdr:nvGraphicFramePr>
        <xdr:cNvPr id="15" name="Gráfico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55</xdr:col>
      <xdr:colOff>523875</xdr:colOff>
      <xdr:row>36</xdr:row>
      <xdr:rowOff>47625</xdr:rowOff>
    </xdr:from>
    <xdr:to>
      <xdr:col>85</xdr:col>
      <xdr:colOff>244477</xdr:colOff>
      <xdr:row>110</xdr:row>
      <xdr:rowOff>0</xdr:rowOff>
    </xdr:to>
    <xdr:graphicFrame macro="">
      <xdr:nvGraphicFramePr>
        <xdr:cNvPr id="16" name="Gráfico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91</xdr:col>
      <xdr:colOff>47625</xdr:colOff>
      <xdr:row>67</xdr:row>
      <xdr:rowOff>9422</xdr:rowOff>
    </xdr:from>
    <xdr:to>
      <xdr:col>103</xdr:col>
      <xdr:colOff>333375</xdr:colOff>
      <xdr:row>111</xdr:row>
      <xdr:rowOff>-1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Artista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rtista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388000" y="12772922"/>
              <a:ext cx="7715250" cy="837257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94</xdr:col>
      <xdr:colOff>416443</xdr:colOff>
      <xdr:row>61</xdr:row>
      <xdr:rowOff>64024</xdr:rowOff>
    </xdr:from>
    <xdr:to>
      <xdr:col>100</xdr:col>
      <xdr:colOff>210039</xdr:colOff>
      <xdr:row>68</xdr:row>
      <xdr:rowOff>30965</xdr:rowOff>
    </xdr:to>
    <xdr:sp macro="" textlink="">
      <xdr:nvSpPr>
        <xdr:cNvPr id="11" name="Retângulo 10"/>
        <xdr:cNvSpPr/>
      </xdr:nvSpPr>
      <xdr:spPr>
        <a:xfrm>
          <a:off x="58614193" y="11684524"/>
          <a:ext cx="3508346" cy="1300441"/>
        </a:xfrm>
        <a:prstGeom prst="rect">
          <a:avLst/>
        </a:prstGeom>
        <a:solidFill>
          <a:srgbClr val="28282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6600" b="0" i="0" u="none" strike="noStrike">
              <a:solidFill>
                <a:srgbClr val="1DB954"/>
              </a:solidFill>
              <a:latin typeface="Palatino Linotype" panose="02040502050505030304" pitchFamily="18" charset="0"/>
              <a:ea typeface="+mn-ea"/>
              <a:cs typeface="Calibri"/>
            </a:rPr>
            <a:t>Artistas</a:t>
          </a:r>
        </a:p>
      </xdr:txBody>
    </xdr:sp>
    <xdr:clientData/>
  </xdr:twoCellAnchor>
  <xdr:twoCellAnchor editAs="oneCell">
    <xdr:from>
      <xdr:col>91</xdr:col>
      <xdr:colOff>95250</xdr:colOff>
      <xdr:row>9</xdr:row>
      <xdr:rowOff>47625</xdr:rowOff>
    </xdr:from>
    <xdr:to>
      <xdr:col>103</xdr:col>
      <xdr:colOff>189750</xdr:colOff>
      <xdr:row>61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7" name="Música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úsica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435625" y="1762125"/>
              <a:ext cx="7524000" cy="985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39</xdr:col>
      <xdr:colOff>317500</xdr:colOff>
      <xdr:row>6</xdr:row>
      <xdr:rowOff>0</xdr:rowOff>
    </xdr:from>
    <xdr:to>
      <xdr:col>55</xdr:col>
      <xdr:colOff>364392</xdr:colOff>
      <xdr:row>22</xdr:row>
      <xdr:rowOff>43473</xdr:rowOff>
    </xdr:to>
    <xdr:sp macro="" textlink="">
      <xdr:nvSpPr>
        <xdr:cNvPr id="18" name="Retângulo de cantos arredondados 17"/>
        <xdr:cNvSpPr/>
      </xdr:nvSpPr>
      <xdr:spPr>
        <a:xfrm>
          <a:off x="23534688" y="1190625"/>
          <a:ext cx="9571892" cy="3218473"/>
        </a:xfrm>
        <a:prstGeom prst="roundRect">
          <a:avLst/>
        </a:prstGeom>
        <a:solidFill>
          <a:srgbClr val="282828"/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bIns="0" rtlCol="0" anchor="ctr"/>
        <a:lstStyle/>
        <a:p>
          <a:pPr marL="0" indent="0" algn="ctr"/>
          <a:endParaRPr lang="en-US" sz="9600" b="1" i="0" u="none" strike="noStrike">
            <a:solidFill>
              <a:srgbClr val="1DB954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39</xdr:col>
      <xdr:colOff>476250</xdr:colOff>
      <xdr:row>7</xdr:row>
      <xdr:rowOff>0</xdr:rowOff>
    </xdr:from>
    <xdr:to>
      <xdr:col>55</xdr:col>
      <xdr:colOff>198436</xdr:colOff>
      <xdr:row>10</xdr:row>
      <xdr:rowOff>95250</xdr:rowOff>
    </xdr:to>
    <xdr:sp macro="" textlink="análises!J4">
      <xdr:nvSpPr>
        <xdr:cNvPr id="19" name="Retângulo 18"/>
        <xdr:cNvSpPr/>
      </xdr:nvSpPr>
      <xdr:spPr>
        <a:xfrm>
          <a:off x="24622125" y="1333500"/>
          <a:ext cx="9628186" cy="666750"/>
        </a:xfrm>
        <a:prstGeom prst="rect">
          <a:avLst/>
        </a:prstGeom>
        <a:solidFill>
          <a:srgbClr val="28282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8644E5E7-DA1A-4210-892D-7584FA55F4F6}" type="TxLink">
            <a:rPr lang="en-US" sz="4800" b="0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Sem lovizin</a:t>
          </a:fld>
          <a:endParaRPr lang="pt-BR" sz="4800">
            <a:solidFill>
              <a:schemeClr val="bg1"/>
            </a:solidFill>
            <a:latin typeface="Palatino Linotype" panose="02040502050505030304" pitchFamily="18" charset="0"/>
          </a:endParaRPr>
        </a:p>
      </xdr:txBody>
    </xdr:sp>
    <xdr:clientData/>
  </xdr:twoCellAnchor>
  <xdr:twoCellAnchor>
    <xdr:from>
      <xdr:col>47</xdr:col>
      <xdr:colOff>285750</xdr:colOff>
      <xdr:row>17</xdr:row>
      <xdr:rowOff>90612</xdr:rowOff>
    </xdr:from>
    <xdr:to>
      <xdr:col>55</xdr:col>
      <xdr:colOff>381000</xdr:colOff>
      <xdr:row>20</xdr:row>
      <xdr:rowOff>47625</xdr:rowOff>
    </xdr:to>
    <xdr:sp macro="" textlink="">
      <xdr:nvSpPr>
        <xdr:cNvPr id="20" name="Retângulo 19"/>
        <xdr:cNvSpPr/>
      </xdr:nvSpPr>
      <xdr:spPr>
        <a:xfrm>
          <a:off x="29384625" y="3329112"/>
          <a:ext cx="5048250" cy="528513"/>
        </a:xfrm>
        <a:prstGeom prst="rect">
          <a:avLst/>
        </a:prstGeom>
        <a:solidFill>
          <a:srgbClr val="28282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4400" b="0" i="0" u="none" strike="noStrike" baseline="0">
              <a:solidFill>
                <a:schemeClr val="bg1"/>
              </a:solidFill>
              <a:latin typeface="Palatino Linotype" panose="02040502050505030304" pitchFamily="18" charset="0"/>
              <a:ea typeface="+mn-ea"/>
              <a:cs typeface="Calibri"/>
            </a:rPr>
            <a:t>Reprodução(mês)</a:t>
          </a:r>
          <a:endParaRPr lang="pt-BR" sz="4400" b="0" i="0" u="none" strike="noStrike">
            <a:solidFill>
              <a:schemeClr val="bg1"/>
            </a:solidFill>
            <a:latin typeface="Palatino Linotype" panose="02040502050505030304" pitchFamily="18" charset="0"/>
            <a:ea typeface="+mn-ea"/>
            <a:cs typeface="Calibri"/>
          </a:endParaRPr>
        </a:p>
      </xdr:txBody>
    </xdr:sp>
    <xdr:clientData/>
  </xdr:twoCellAnchor>
  <xdr:twoCellAnchor>
    <xdr:from>
      <xdr:col>56</xdr:col>
      <xdr:colOff>388938</xdr:colOff>
      <xdr:row>6</xdr:row>
      <xdr:rowOff>0</xdr:rowOff>
    </xdr:from>
    <xdr:to>
      <xdr:col>72</xdr:col>
      <xdr:colOff>435830</xdr:colOff>
      <xdr:row>22</xdr:row>
      <xdr:rowOff>43473</xdr:rowOff>
    </xdr:to>
    <xdr:sp macro="" textlink="">
      <xdr:nvSpPr>
        <xdr:cNvPr id="21" name="Retângulo de cantos arredondados 20"/>
        <xdr:cNvSpPr/>
      </xdr:nvSpPr>
      <xdr:spPr>
        <a:xfrm>
          <a:off x="35059938" y="1143000"/>
          <a:ext cx="9952892" cy="3091473"/>
        </a:xfrm>
        <a:prstGeom prst="roundRect">
          <a:avLst/>
        </a:prstGeom>
        <a:solidFill>
          <a:srgbClr val="282828"/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bIns="0" rtlCol="0" anchor="ctr"/>
        <a:lstStyle/>
        <a:p>
          <a:pPr algn="ctr"/>
          <a:endParaRPr lang="en-US" sz="8000" b="0" i="0" u="none" strike="noStrike">
            <a:solidFill>
              <a:srgbClr val="1DB954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57</xdr:col>
      <xdr:colOff>190499</xdr:colOff>
      <xdr:row>15</xdr:row>
      <xdr:rowOff>0</xdr:rowOff>
    </xdr:from>
    <xdr:to>
      <xdr:col>62</xdr:col>
      <xdr:colOff>285749</xdr:colOff>
      <xdr:row>20</xdr:row>
      <xdr:rowOff>0</xdr:rowOff>
    </xdr:to>
    <xdr:sp macro="" textlink="análises!M22">
      <xdr:nvSpPr>
        <xdr:cNvPr id="7" name="Retângulo 6"/>
        <xdr:cNvSpPr/>
      </xdr:nvSpPr>
      <xdr:spPr>
        <a:xfrm>
          <a:off x="35480624" y="2857500"/>
          <a:ext cx="3190875" cy="952500"/>
        </a:xfrm>
        <a:prstGeom prst="rect">
          <a:avLst/>
        </a:prstGeom>
        <a:solidFill>
          <a:srgbClr val="28282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5B1BC8F-6C7A-4A1F-8AF8-A35C858E3417}" type="TxLink">
            <a:rPr lang="en-US" sz="4400" b="1" i="0" u="none" strike="noStrike">
              <a:solidFill>
                <a:srgbClr val="1DB954"/>
              </a:solidFill>
              <a:latin typeface="Calibri"/>
              <a:cs typeface="Calibri"/>
            </a:rPr>
            <a:pPr algn="ctr"/>
            <a:t>06/01/2026</a:t>
          </a:fld>
          <a:endParaRPr lang="pt-BR" sz="4400" b="1">
            <a:solidFill>
              <a:srgbClr val="1DB954"/>
            </a:solidFill>
          </a:endParaRPr>
        </a:p>
      </xdr:txBody>
    </xdr:sp>
    <xdr:clientData/>
  </xdr:twoCellAnchor>
  <xdr:twoCellAnchor>
    <xdr:from>
      <xdr:col>62</xdr:col>
      <xdr:colOff>104774</xdr:colOff>
      <xdr:row>14</xdr:row>
      <xdr:rowOff>104775</xdr:rowOff>
    </xdr:from>
    <xdr:to>
      <xdr:col>67</xdr:col>
      <xdr:colOff>333374</xdr:colOff>
      <xdr:row>20</xdr:row>
      <xdr:rowOff>142875</xdr:rowOff>
    </xdr:to>
    <xdr:sp macro="" textlink="análises!M23">
      <xdr:nvSpPr>
        <xdr:cNvPr id="22" name="Retângulo 21"/>
        <xdr:cNvSpPr/>
      </xdr:nvSpPr>
      <xdr:spPr>
        <a:xfrm>
          <a:off x="38490524" y="2771775"/>
          <a:ext cx="3324225" cy="1181100"/>
        </a:xfrm>
        <a:prstGeom prst="rect">
          <a:avLst/>
        </a:prstGeom>
        <a:solidFill>
          <a:srgbClr val="28282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34F9DF55-C52D-480B-8150-0868363E9004}" type="TxLink">
            <a:rPr lang="en-US" sz="4400" b="1" i="0" u="none" strike="noStrike">
              <a:solidFill>
                <a:srgbClr val="1DB954"/>
              </a:solidFill>
              <a:latin typeface="Calibri"/>
              <a:ea typeface="+mn-ea"/>
              <a:cs typeface="Calibri"/>
            </a:rPr>
            <a:pPr marL="0" indent="0" algn="ctr"/>
            <a:t>24/01/2026</a:t>
          </a:fld>
          <a:endParaRPr lang="pt-BR" sz="4400" b="1" i="0" u="none" strike="noStrike">
            <a:solidFill>
              <a:srgbClr val="1DB954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67</xdr:col>
      <xdr:colOff>209549</xdr:colOff>
      <xdr:row>15</xdr:row>
      <xdr:rowOff>66675</xdr:rowOff>
    </xdr:from>
    <xdr:to>
      <xdr:col>72</xdr:col>
      <xdr:colOff>95249</xdr:colOff>
      <xdr:row>19</xdr:row>
      <xdr:rowOff>95250</xdr:rowOff>
    </xdr:to>
    <xdr:sp macro="" textlink="análises!M24">
      <xdr:nvSpPr>
        <xdr:cNvPr id="23" name="Retângulo 22"/>
        <xdr:cNvSpPr/>
      </xdr:nvSpPr>
      <xdr:spPr>
        <a:xfrm>
          <a:off x="41690924" y="2924175"/>
          <a:ext cx="2981325" cy="790575"/>
        </a:xfrm>
        <a:prstGeom prst="rect">
          <a:avLst/>
        </a:prstGeom>
        <a:solidFill>
          <a:srgbClr val="28282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81B15B43-040B-4808-943C-DDB099EB7280}" type="TxLink">
            <a:rPr lang="en-US" sz="4400" b="1" i="0" u="none" strike="noStrike">
              <a:solidFill>
                <a:srgbClr val="1DB954"/>
              </a:solidFill>
              <a:latin typeface="Calibri"/>
              <a:ea typeface="+mn-ea"/>
              <a:cs typeface="Calibri"/>
            </a:rPr>
            <a:pPr marL="0" indent="0" algn="ctr"/>
            <a:t>20/01/2026</a:t>
          </a:fld>
          <a:endParaRPr lang="pt-BR" sz="4400" b="1" i="0" u="none" strike="noStrike">
            <a:solidFill>
              <a:srgbClr val="1DB954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58</xdr:col>
      <xdr:colOff>114300</xdr:colOff>
      <xdr:row>11</xdr:row>
      <xdr:rowOff>142874</xdr:rowOff>
    </xdr:from>
    <xdr:to>
      <xdr:col>62</xdr:col>
      <xdr:colOff>114300</xdr:colOff>
      <xdr:row>15</xdr:row>
      <xdr:rowOff>19049</xdr:rowOff>
    </xdr:to>
    <xdr:sp macro="" textlink="">
      <xdr:nvSpPr>
        <xdr:cNvPr id="24" name="Retângulo 23"/>
        <xdr:cNvSpPr/>
      </xdr:nvSpPr>
      <xdr:spPr>
        <a:xfrm>
          <a:off x="36023550" y="2238374"/>
          <a:ext cx="2476500" cy="638175"/>
        </a:xfrm>
        <a:prstGeom prst="rect">
          <a:avLst/>
        </a:prstGeom>
        <a:solidFill>
          <a:srgbClr val="28282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54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1º</a:t>
          </a:r>
        </a:p>
      </xdr:txBody>
    </xdr:sp>
    <xdr:clientData/>
  </xdr:twoCellAnchor>
  <xdr:twoCellAnchor>
    <xdr:from>
      <xdr:col>62</xdr:col>
      <xdr:colOff>457200</xdr:colOff>
      <xdr:row>11</xdr:row>
      <xdr:rowOff>152399</xdr:rowOff>
    </xdr:from>
    <xdr:to>
      <xdr:col>66</xdr:col>
      <xdr:colOff>457200</xdr:colOff>
      <xdr:row>15</xdr:row>
      <xdr:rowOff>28574</xdr:rowOff>
    </xdr:to>
    <xdr:sp macro="" textlink="">
      <xdr:nvSpPr>
        <xdr:cNvPr id="25" name="Retângulo 24"/>
        <xdr:cNvSpPr/>
      </xdr:nvSpPr>
      <xdr:spPr>
        <a:xfrm>
          <a:off x="38842950" y="2247899"/>
          <a:ext cx="2476500" cy="638175"/>
        </a:xfrm>
        <a:prstGeom prst="rect">
          <a:avLst/>
        </a:prstGeom>
        <a:solidFill>
          <a:srgbClr val="28282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54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2º</a:t>
          </a:r>
        </a:p>
      </xdr:txBody>
    </xdr:sp>
    <xdr:clientData/>
  </xdr:twoCellAnchor>
  <xdr:twoCellAnchor>
    <xdr:from>
      <xdr:col>67</xdr:col>
      <xdr:colOff>323850</xdr:colOff>
      <xdr:row>11</xdr:row>
      <xdr:rowOff>161924</xdr:rowOff>
    </xdr:from>
    <xdr:to>
      <xdr:col>71</xdr:col>
      <xdr:colOff>323850</xdr:colOff>
      <xdr:row>15</xdr:row>
      <xdr:rowOff>38099</xdr:rowOff>
    </xdr:to>
    <xdr:sp macro="" textlink="">
      <xdr:nvSpPr>
        <xdr:cNvPr id="26" name="Retângulo 25"/>
        <xdr:cNvSpPr/>
      </xdr:nvSpPr>
      <xdr:spPr>
        <a:xfrm>
          <a:off x="41805225" y="2257424"/>
          <a:ext cx="2476500" cy="638175"/>
        </a:xfrm>
        <a:prstGeom prst="rect">
          <a:avLst/>
        </a:prstGeom>
        <a:solidFill>
          <a:srgbClr val="28282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54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3º</a:t>
          </a:r>
        </a:p>
      </xdr:txBody>
    </xdr:sp>
    <xdr:clientData/>
  </xdr:twoCellAnchor>
  <xdr:twoCellAnchor>
    <xdr:from>
      <xdr:col>58</xdr:col>
      <xdr:colOff>1</xdr:colOff>
      <xdr:row>7</xdr:row>
      <xdr:rowOff>95251</xdr:rowOff>
    </xdr:from>
    <xdr:to>
      <xdr:col>71</xdr:col>
      <xdr:colOff>333376</xdr:colOff>
      <xdr:row>10</xdr:row>
      <xdr:rowOff>95251</xdr:rowOff>
    </xdr:to>
    <xdr:sp macro="" textlink="">
      <xdr:nvSpPr>
        <xdr:cNvPr id="27" name="Retângulo 26"/>
        <xdr:cNvSpPr/>
      </xdr:nvSpPr>
      <xdr:spPr>
        <a:xfrm>
          <a:off x="35909251" y="1428751"/>
          <a:ext cx="8382000" cy="571500"/>
        </a:xfrm>
        <a:prstGeom prst="rect">
          <a:avLst/>
        </a:prstGeom>
        <a:solidFill>
          <a:srgbClr val="28282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44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Top</a:t>
          </a:r>
          <a:r>
            <a:rPr lang="en-US" sz="4400" b="1" i="0" u="none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 3 datas com mais </a:t>
          </a:r>
          <a:r>
            <a:rPr lang="en-US" sz="4800" b="1" i="0" u="none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reprodução</a:t>
          </a:r>
          <a:endParaRPr lang="en-US" sz="4800" b="1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94</xdr:col>
      <xdr:colOff>92593</xdr:colOff>
      <xdr:row>2</xdr:row>
      <xdr:rowOff>25924</xdr:rowOff>
    </xdr:from>
    <xdr:to>
      <xdr:col>99</xdr:col>
      <xdr:colOff>505314</xdr:colOff>
      <xdr:row>8</xdr:row>
      <xdr:rowOff>183365</xdr:rowOff>
    </xdr:to>
    <xdr:sp macro="" textlink="">
      <xdr:nvSpPr>
        <xdr:cNvPr id="28" name="Retângulo 27"/>
        <xdr:cNvSpPr/>
      </xdr:nvSpPr>
      <xdr:spPr>
        <a:xfrm>
          <a:off x="58290343" y="406924"/>
          <a:ext cx="3508346" cy="1300441"/>
        </a:xfrm>
        <a:prstGeom prst="rect">
          <a:avLst/>
        </a:prstGeom>
        <a:solidFill>
          <a:srgbClr val="28282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6600" b="0" i="0" u="none" strike="noStrike">
              <a:solidFill>
                <a:srgbClr val="1DB954"/>
              </a:solidFill>
              <a:latin typeface="Palatino Linotype" panose="02040502050505030304" pitchFamily="18" charset="0"/>
              <a:ea typeface="+mn-ea"/>
              <a:cs typeface="Calibri"/>
            </a:rPr>
            <a:t>Músicas</a:t>
          </a:r>
        </a:p>
      </xdr:txBody>
    </xdr:sp>
    <xdr:clientData/>
  </xdr:twoCellAnchor>
  <xdr:twoCellAnchor>
    <xdr:from>
      <xdr:col>7</xdr:col>
      <xdr:colOff>523875</xdr:colOff>
      <xdr:row>27</xdr:row>
      <xdr:rowOff>142875</xdr:rowOff>
    </xdr:from>
    <xdr:to>
      <xdr:col>27</xdr:col>
      <xdr:colOff>47625</xdr:colOff>
      <xdr:row>32</xdr:row>
      <xdr:rowOff>9435</xdr:rowOff>
    </xdr:to>
    <xdr:sp macro="" textlink="">
      <xdr:nvSpPr>
        <xdr:cNvPr id="29" name="Retângulo 28"/>
        <xdr:cNvSpPr/>
      </xdr:nvSpPr>
      <xdr:spPr>
        <a:xfrm>
          <a:off x="4857750" y="5286375"/>
          <a:ext cx="11906250" cy="8190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4800" baseline="0">
              <a:solidFill>
                <a:schemeClr val="bg1"/>
              </a:solidFill>
            </a:rPr>
            <a:t>Artistas mais ouvidos do mês</a:t>
          </a:r>
          <a:endParaRPr lang="pt-BR" sz="4800">
            <a:solidFill>
              <a:schemeClr val="bg1"/>
            </a:solidFill>
          </a:endParaRPr>
        </a:p>
      </xdr:txBody>
    </xdr:sp>
    <xdr:clientData/>
  </xdr:twoCellAnchor>
  <xdr:twoCellAnchor>
    <xdr:from>
      <xdr:col>38</xdr:col>
      <xdr:colOff>238124</xdr:colOff>
      <xdr:row>31</xdr:row>
      <xdr:rowOff>47625</xdr:rowOff>
    </xdr:from>
    <xdr:to>
      <xdr:col>53</xdr:col>
      <xdr:colOff>238124</xdr:colOff>
      <xdr:row>34</xdr:row>
      <xdr:rowOff>142875</xdr:rowOff>
    </xdr:to>
    <xdr:sp macro="" textlink="">
      <xdr:nvSpPr>
        <xdr:cNvPr id="30" name="Retângulo 29"/>
        <xdr:cNvSpPr/>
      </xdr:nvSpPr>
      <xdr:spPr>
        <a:xfrm>
          <a:off x="23764874" y="5953125"/>
          <a:ext cx="9286875" cy="666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600" baseline="0">
              <a:solidFill>
                <a:schemeClr val="bg1"/>
              </a:solidFill>
            </a:rPr>
            <a:t>Dispositivos mais usados do mês</a:t>
          </a:r>
          <a:endParaRPr lang="pt-BR" sz="3600">
            <a:solidFill>
              <a:schemeClr val="bg1"/>
            </a:solidFill>
          </a:endParaRPr>
        </a:p>
      </xdr:txBody>
    </xdr:sp>
    <xdr:clientData/>
  </xdr:twoCellAnchor>
  <xdr:twoCellAnchor>
    <xdr:from>
      <xdr:col>38</xdr:col>
      <xdr:colOff>381000</xdr:colOff>
      <xdr:row>74</xdr:row>
      <xdr:rowOff>95250</xdr:rowOff>
    </xdr:from>
    <xdr:to>
      <xdr:col>53</xdr:col>
      <xdr:colOff>381000</xdr:colOff>
      <xdr:row>78</xdr:row>
      <xdr:rowOff>0</xdr:rowOff>
    </xdr:to>
    <xdr:sp macro="" textlink="">
      <xdr:nvSpPr>
        <xdr:cNvPr id="31" name="Retângulo 30"/>
        <xdr:cNvSpPr/>
      </xdr:nvSpPr>
      <xdr:spPr>
        <a:xfrm>
          <a:off x="23907750" y="14192250"/>
          <a:ext cx="9286875" cy="666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600" baseline="0">
              <a:solidFill>
                <a:schemeClr val="bg1"/>
              </a:solidFill>
            </a:rPr>
            <a:t>Período do dia mais ouvido do mês</a:t>
          </a:r>
          <a:endParaRPr lang="pt-BR" sz="3600">
            <a:solidFill>
              <a:schemeClr val="bg1"/>
            </a:solidFill>
          </a:endParaRPr>
        </a:p>
      </xdr:txBody>
    </xdr:sp>
    <xdr:clientData/>
  </xdr:twoCellAnchor>
  <xdr:twoCellAnchor>
    <xdr:from>
      <xdr:col>41</xdr:col>
      <xdr:colOff>47625</xdr:colOff>
      <xdr:row>11</xdr:row>
      <xdr:rowOff>95250</xdr:rowOff>
    </xdr:from>
    <xdr:to>
      <xdr:col>46</xdr:col>
      <xdr:colOff>238125</xdr:colOff>
      <xdr:row>16</xdr:row>
      <xdr:rowOff>95250</xdr:rowOff>
    </xdr:to>
    <xdr:sp macro="" textlink="análises!L4">
      <xdr:nvSpPr>
        <xdr:cNvPr id="32" name="Retângulo 31"/>
        <xdr:cNvSpPr/>
      </xdr:nvSpPr>
      <xdr:spPr>
        <a:xfrm>
          <a:off x="25431750" y="2190750"/>
          <a:ext cx="3286125" cy="952500"/>
        </a:xfrm>
        <a:prstGeom prst="rect">
          <a:avLst/>
        </a:prstGeom>
        <a:solidFill>
          <a:srgbClr val="282828"/>
        </a:solidFill>
        <a:ln w="158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bIns="0" rtlCol="0" anchor="ctr"/>
        <a:lstStyle/>
        <a:p>
          <a:pPr marL="0" indent="0" algn="ctr"/>
          <a:fld id="{83D8C563-2A97-4EBE-89BC-B64D7E8E73D2}" type="TxLink">
            <a:rPr lang="en-US" sz="9600" b="1" i="0" u="none" strike="noStrike">
              <a:solidFill>
                <a:srgbClr val="1DB954"/>
              </a:solidFill>
              <a:latin typeface="Calibri"/>
              <a:ea typeface="+mn-ea"/>
              <a:cs typeface="Calibri"/>
            </a:rPr>
            <a:pPr marL="0" indent="0" algn="ctr"/>
            <a:t>26,45</a:t>
          </a:fld>
          <a:endParaRPr lang="pt-BR" sz="9600" b="1" i="0" u="none" strike="noStrike">
            <a:solidFill>
              <a:srgbClr val="1DB954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48</xdr:col>
      <xdr:colOff>295275</xdr:colOff>
      <xdr:row>11</xdr:row>
      <xdr:rowOff>104774</xdr:rowOff>
    </xdr:from>
    <xdr:to>
      <xdr:col>53</xdr:col>
      <xdr:colOff>485775</xdr:colOff>
      <xdr:row>16</xdr:row>
      <xdr:rowOff>95249</xdr:rowOff>
    </xdr:to>
    <xdr:sp macro="" textlink="análises!K4">
      <xdr:nvSpPr>
        <xdr:cNvPr id="33" name="Retângulo 32"/>
        <xdr:cNvSpPr/>
      </xdr:nvSpPr>
      <xdr:spPr>
        <a:xfrm>
          <a:off x="30013275" y="2200274"/>
          <a:ext cx="3286125" cy="942975"/>
        </a:xfrm>
        <a:prstGeom prst="rect">
          <a:avLst/>
        </a:prstGeom>
        <a:solidFill>
          <a:srgbClr val="282828"/>
        </a:solidFill>
        <a:ln w="158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bIns="0" rtlCol="0" anchor="ctr"/>
        <a:lstStyle/>
        <a:p>
          <a:pPr marL="0" indent="0" algn="ctr"/>
          <a:fld id="{05680CF5-7A04-4C3B-B445-0FD96C0A9630}" type="TxLink">
            <a:rPr lang="en-US" sz="9600" b="1" i="0" u="none" strike="noStrike">
              <a:solidFill>
                <a:srgbClr val="1DB954"/>
              </a:solidFill>
              <a:latin typeface="Calibri"/>
              <a:ea typeface="+mn-ea"/>
              <a:cs typeface="Calibri"/>
            </a:rPr>
            <a:pPr marL="0" indent="0" algn="ctr"/>
            <a:t>10</a:t>
          </a:fld>
          <a:endParaRPr lang="pt-BR" sz="9600" b="1" i="0" u="none" strike="noStrike">
            <a:solidFill>
              <a:srgbClr val="1DB954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39</xdr:col>
      <xdr:colOff>571500</xdr:colOff>
      <xdr:row>17</xdr:row>
      <xdr:rowOff>100137</xdr:rowOff>
    </xdr:from>
    <xdr:to>
      <xdr:col>48</xdr:col>
      <xdr:colOff>47625</xdr:colOff>
      <xdr:row>20</xdr:row>
      <xdr:rowOff>47625</xdr:rowOff>
    </xdr:to>
    <xdr:sp macro="" textlink="">
      <xdr:nvSpPr>
        <xdr:cNvPr id="35" name="Retângulo 34"/>
        <xdr:cNvSpPr/>
      </xdr:nvSpPr>
      <xdr:spPr>
        <a:xfrm>
          <a:off x="24717375" y="3338637"/>
          <a:ext cx="5048250" cy="518988"/>
        </a:xfrm>
        <a:prstGeom prst="rect">
          <a:avLst/>
        </a:prstGeom>
        <a:solidFill>
          <a:srgbClr val="28282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4000" b="0" i="0" u="none" strike="noStrike">
              <a:solidFill>
                <a:schemeClr val="bg1"/>
              </a:solidFill>
              <a:latin typeface="Palatino Linotype" panose="02040502050505030304" pitchFamily="18" charset="0"/>
              <a:ea typeface="+mn-ea"/>
              <a:cs typeface="Calibri"/>
            </a:rPr>
            <a:t>Tempo</a:t>
          </a:r>
          <a:r>
            <a:rPr lang="pt-BR" sz="4000" b="0" i="0" u="none" strike="noStrike" baseline="0">
              <a:solidFill>
                <a:schemeClr val="bg1"/>
              </a:solidFill>
              <a:latin typeface="Palatino Linotype" panose="02040502050505030304" pitchFamily="18" charset="0"/>
              <a:ea typeface="+mn-ea"/>
              <a:cs typeface="Calibri"/>
            </a:rPr>
            <a:t> ouvido( min)</a:t>
          </a:r>
          <a:endParaRPr lang="pt-BR" sz="4000" b="0" i="0" u="none" strike="noStrike">
            <a:solidFill>
              <a:schemeClr val="bg1"/>
            </a:solidFill>
            <a:latin typeface="Palatino Linotype" panose="02040502050505030304" pitchFamily="18" charset="0"/>
            <a:ea typeface="+mn-ea"/>
            <a:cs typeface="Calibri"/>
          </a:endParaRP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Computador" refreshedDate="46322.690137384256" backgroundQuery="1" createdVersion="5" refreshedVersion="5" minRefreshableVersion="3" recordCount="0" supportSubquery="1" supportAdvancedDrill="1">
  <cacheSource type="external" connectionId="1"/>
  <cacheFields count="0"/>
  <cacheHierarchies count="28">
    <cacheHierarchy uniqueName="[Tabela2].[Data]" caption="Data" attribute="1" time="1" defaultMemberUniqueName="[Tabela2].[Data].[All]" allUniqueName="[Tabela2].[Data].[All]" dimensionUniqueName="[Tabela2]" displayFolder="" count="0" memberValueDatatype="7" unbalanced="0"/>
    <cacheHierarchy uniqueName="[Tabela2].[Hora]" caption="Hora" attribute="1" time="1" defaultMemberUniqueName="[Tabela2].[Hora].[All]" allUniqueName="[Tabela2].[Hora].[All]" dimensionUniqueName="[Tabela2]" displayFolder="" count="0" memberValueDatatype="7" unbalanced="0"/>
    <cacheHierarchy uniqueName="[Tabela2].[ID]" caption="ID" attribute="1" defaultMemberUniqueName="[Tabela2].[ID].[All]" allUniqueName="[Tabela2].[ID].[All]" dimensionUniqueName="[Tabela2]" displayFolder="" count="0" memberValueDatatype="130" unbalanced="0"/>
    <cacheHierarchy uniqueName="[Tabela2].[Dispositivo]" caption="Dispositivo" attribute="1" defaultMemberUniqueName="[Tabela2].[Dispositivo].[All]" allUniqueName="[Tabela2].[Dispositivo].[All]" dimensionUniqueName="[Tabela2]" displayFolder="" count="0" memberValueDatatype="130" unbalanced="0"/>
    <cacheHierarchy uniqueName="[Tabela2].[Segundos_Ouvidos]" caption="Segundos_Ouvidos" attribute="1" defaultMemberUniqueName="[Tabela2].[Segundos_Ouvidos].[All]" allUniqueName="[Tabela2].[Segundos_Ouvidos].[All]" dimensionUniqueName="[Tabela2]" displayFolder="" count="0" memberValueDatatype="20" unbalanced="0"/>
    <cacheHierarchy uniqueName="[Tabela2].[minutos_ouvidos]" caption="minutos_ouvidos" attribute="1" defaultMemberUniqueName="[Tabela2].[minutos_ouvidos].[All]" allUniqueName="[Tabela2].[minutos_ouvidos].[All]" dimensionUniqueName="[Tabela2]" displayFolder="" count="0" memberValueDatatype="5" unbalanced="0"/>
    <cacheHierarchy uniqueName="[Tabela2].[Reprodução_Completa]" caption="Reprodução_Completa" attribute="1" defaultMemberUniqueName="[Tabela2].[Reprodução_Completa].[All]" allUniqueName="[Tabela2].[Reprodução_Completa].[All]" dimensionUniqueName="[Tabela2]" displayFolder="" count="0" memberValueDatatype="130" unbalanced="0"/>
    <cacheHierarchy uniqueName="[Tabela2].[Periodo_dia]" caption="Periodo_dia" attribute="1" defaultMemberUniqueName="[Tabela2].[Periodo_dia].[All]" allUniqueName="[Tabela2].[Periodo_dia].[All]" dimensionUniqueName="[Tabela2]" displayFolder="" count="0" memberValueDatatype="130" unbalanced="0"/>
    <cacheHierarchy uniqueName="[Tabela6].[Track_Id]" caption="Track_Id" attribute="1" defaultMemberUniqueName="[Tabela6].[Track_Id].[All]" allUniqueName="[Tabela6].[Track_Id].[All]" dimensionUniqueName="[Tabela6]" displayFolder="" count="0" memberValueDatatype="130" unbalanced="0"/>
    <cacheHierarchy uniqueName="[Tabela6].[Artista]" caption="Artista" attribute="1" defaultMemberUniqueName="[Tabela6].[Artista].[All]" allUniqueName="[Tabela6].[Artista].[All]" dimensionUniqueName="[Tabela6]" displayFolder="" count="0" memberValueDatatype="130" unbalanced="0"/>
    <cacheHierarchy uniqueName="[Tabela6].[Música]" caption="Música" attribute="1" defaultMemberUniqueName="[Tabela6].[Música].[All]" allUniqueName="[Tabela6].[Música].[All]" dimensionUniqueName="[Tabela6]" displayFolder="" count="0" memberValueDatatype="130" unbalanced="0"/>
    <cacheHierarchy uniqueName="[Tabela6].[Gênero]" caption="Gênero" attribute="1" defaultMemberUniqueName="[Tabela6].[Gênero].[All]" allUniqueName="[Tabela6].[Gênero].[All]" dimensionUniqueName="[Tabela6]" displayFolder="" count="0" memberValueDatatype="130" unbalanced="0"/>
    <cacheHierarchy uniqueName="[Tabela6].[Album]" caption="Album" attribute="1" defaultMemberUniqueName="[Tabela6].[Album].[All]" allUniqueName="[Tabela6].[Album].[All]" dimensionUniqueName="[Tabela6]" displayFolder="" count="0" memberValueDatatype="130" unbalanced="0"/>
    <cacheHierarchy uniqueName="[Tabela6].[Duração por segundos]" caption="Duração por segundos" attribute="1" defaultMemberUniqueName="[Tabela6].[Duração por segundos].[All]" allUniqueName="[Tabela6].[Duração por segundos].[All]" dimensionUniqueName="[Tabela6]" displayFolder="" count="0" memberValueDatatype="20" unbalanced="0"/>
    <cacheHierarchy uniqueName="[Tabela6].[Reproduções quantd.]" caption="Reproduções quantd." attribute="1" defaultMemberUniqueName="[Tabela6].[Reproduções quantd.].[All]" allUniqueName="[Tabela6].[Reproduções quantd.].[All]" dimensionUniqueName="[Tabela6]" displayFolder="" count="0" memberValueDatatype="20" unbalanced="0"/>
    <cacheHierarchy uniqueName="[Tabela6].[Tempo_Total_Segundos]" caption="Tempo_Total_Segundos" attribute="1" defaultMemberUniqueName="[Tabela6].[Tempo_Total_Segundos].[All]" allUniqueName="[Tabela6].[Tempo_Total_Segundos].[All]" dimensionUniqueName="[Tabela6]" displayFolder="" count="0" memberValueDatatype="20" unbalanced="0"/>
    <cacheHierarchy uniqueName="[Tabela6].[Tempo_Totl_Minutos]" caption="Tempo_Totl_Minutos" attribute="1" defaultMemberUniqueName="[Tabela6].[Tempo_Totl_Minutos].[All]" allUniqueName="[Tabela6].[Tempo_Totl_Minutos].[All]" dimensionUniqueName="[Tabela6]" displayFolder="" count="0" memberValueDatatype="5" unbalanced="0"/>
    <cacheHierarchy uniqueName="[Tabela6].[Tempo_Total_Horas]" caption="Tempo_Total_Horas" attribute="1" defaultMemberUniqueName="[Tabela6].[Tempo_Total_Horas].[All]" allUniqueName="[Tabela6].[Tempo_Total_Horas].[All]" dimensionUniqueName="[Tabela6]" displayFolder="" count="0" memberValueDatatype="5" unbalanced="0"/>
    <cacheHierarchy uniqueName="[Measures].[Contagem de ID]" caption="Contagem de ID" measure="1" displayFolder="" measureGroup="Tabela2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Tempo_Total_Segundos]" caption="Soma de Tempo_Total_Segundos" measure="1" displayFolder="" measureGroup="Tabela6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Tempo_Totl_Minutos]" caption="Soma de Tempo_Totl_Minutos" measure="1" displayFolder="" measureGroup="Tabela6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a de Reproduções quantd]" caption="Soma de Reproduções quantd" measure="1" displayFolder="" measureGroup="Tabela6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ntagem de Hora]" caption="Contagem de Hora" measure="1" displayFolder="" measureGroup="Tabela2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Segundos_Ouvidos]" caption="Soma de Segundos_Ouvidos" measure="1" displayFolder="" measureGroup="Tabela2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a de minutos_ouvidos]" caption="Soma de minutos_ouvidos" measure="1" displayFolder="" measureGroup="Tabela2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__XL_Count Tabela6]" caption="__XL_Count Tabela6" measure="1" displayFolder="" measureGroup="Tabela6" count="0" hidden="1"/>
    <cacheHierarchy uniqueName="[Measures].[__XL_Count Tabela2]" caption="__XL_Count Tabela2" measure="1" displayFolder="" measureGroup="Tabela2" count="0" hidden="1"/>
    <cacheHierarchy uniqueName="[Measures].[__XL_Count of Models]" caption="__XL_Count of Models" measure="1" displayFolder="" count="0" hidden="1"/>
  </cacheHierarchies>
  <kpis count="0"/>
  <dimensions count="3">
    <dimension measure="1" name="Measures" uniqueName="[Measures]" caption="Measures"/>
    <dimension name="Tabela2" uniqueName="[Tabela2]" caption="Tabela2"/>
    <dimension name="Tabela6" uniqueName="[Tabela6]" caption="Tabela6"/>
  </dimensions>
  <measureGroups count="2">
    <measureGroup name="Tabela2" caption="Tabela2"/>
    <measureGroup name="Tabela6" caption="Tabela6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Computador" refreshedDate="46323.073254745374" backgroundQuery="1" createdVersion="5" refreshedVersion="5" minRefreshableVersion="3" recordCount="0" supportSubquery="1" supportAdvancedDrill="1">
  <cacheSource type="external" connectionId="1"/>
  <cacheFields count="2">
    <cacheField name="[Tabela6].[Gênero].[Gênero]" caption="Gênero" numFmtId="0" hierarchy="11" level="1">
      <sharedItems count="12">
        <s v="afro-pop/pop"/>
        <s v="funk"/>
        <s v="gospel"/>
        <s v="hip-hop/rap"/>
        <s v="pagode"/>
        <s v="piseiro"/>
        <s v="pop"/>
        <s v="R&amp;B"/>
        <s v="rap/acústico"/>
        <s v="rap/funk"/>
        <s v="sertanejo"/>
        <s v="trap"/>
      </sharedItems>
    </cacheField>
    <cacheField name="[Measures].[Contagem de ID]" caption="Contagem de ID" numFmtId="0" hierarchy="18" level="32767"/>
  </cacheFields>
  <cacheHierarchies count="28">
    <cacheHierarchy uniqueName="[Tabela2].[Data]" caption="Data" attribute="1" time="1" defaultMemberUniqueName="[Tabela2].[Data].[All]" allUniqueName="[Tabela2].[Data].[All]" dimensionUniqueName="[Tabela2]" displayFolder="" count="0" memberValueDatatype="7" unbalanced="0"/>
    <cacheHierarchy uniqueName="[Tabela2].[Hora]" caption="Hora" attribute="1" time="1" defaultMemberUniqueName="[Tabela2].[Hora].[All]" allUniqueName="[Tabela2].[Hora].[All]" dimensionUniqueName="[Tabela2]" displayFolder="" count="0" memberValueDatatype="7" unbalanced="0"/>
    <cacheHierarchy uniqueName="[Tabela2].[ID]" caption="ID" attribute="1" defaultMemberUniqueName="[Tabela2].[ID].[All]" allUniqueName="[Tabela2].[ID].[All]" dimensionUniqueName="[Tabela2]" displayFolder="" count="0" memberValueDatatype="130" unbalanced="0"/>
    <cacheHierarchy uniqueName="[Tabela2].[Dispositivo]" caption="Dispositivo" attribute="1" defaultMemberUniqueName="[Tabela2].[Dispositivo].[All]" allUniqueName="[Tabela2].[Dispositivo].[All]" dimensionUniqueName="[Tabela2]" displayFolder="" count="0" memberValueDatatype="130" unbalanced="0"/>
    <cacheHierarchy uniqueName="[Tabela2].[Segundos_Ouvidos]" caption="Segundos_Ouvidos" attribute="1" defaultMemberUniqueName="[Tabela2].[Segundos_Ouvidos].[All]" allUniqueName="[Tabela2].[Segundos_Ouvidos].[All]" dimensionUniqueName="[Tabela2]" displayFolder="" count="0" memberValueDatatype="20" unbalanced="0"/>
    <cacheHierarchy uniqueName="[Tabela2].[minutos_ouvidos]" caption="minutos_ouvidos" attribute="1" defaultMemberUniqueName="[Tabela2].[minutos_ouvidos].[All]" allUniqueName="[Tabela2].[minutos_ouvidos].[All]" dimensionUniqueName="[Tabela2]" displayFolder="" count="0" memberValueDatatype="5" unbalanced="0"/>
    <cacheHierarchy uniqueName="[Tabela2].[Reprodução_Completa]" caption="Reprodução_Completa" attribute="1" defaultMemberUniqueName="[Tabela2].[Reprodução_Completa].[All]" allUniqueName="[Tabela2].[Reprodução_Completa].[All]" dimensionUniqueName="[Tabela2]" displayFolder="" count="0" memberValueDatatype="130" unbalanced="0"/>
    <cacheHierarchy uniqueName="[Tabela2].[Periodo_dia]" caption="Periodo_dia" attribute="1" defaultMemberUniqueName="[Tabela2].[Periodo_dia].[All]" allUniqueName="[Tabela2].[Periodo_dia].[All]" dimensionUniqueName="[Tabela2]" displayFolder="" count="0" memberValueDatatype="130" unbalanced="0"/>
    <cacheHierarchy uniqueName="[Tabela6].[Track_Id]" caption="Track_Id" attribute="1" defaultMemberUniqueName="[Tabela6].[Track_Id].[All]" allUniqueName="[Tabela6].[Track_Id].[All]" dimensionUniqueName="[Tabela6]" displayFolder="" count="0" memberValueDatatype="130" unbalanced="0"/>
    <cacheHierarchy uniqueName="[Tabela6].[Artista]" caption="Artista" attribute="1" defaultMemberUniqueName="[Tabela6].[Artista].[All]" allUniqueName="[Tabela6].[Artista].[All]" dimensionUniqueName="[Tabela6]" displayFolder="" count="0" memberValueDatatype="130" unbalanced="0"/>
    <cacheHierarchy uniqueName="[Tabela6].[Música]" caption="Música" attribute="1" defaultMemberUniqueName="[Tabela6].[Música].[All]" allUniqueName="[Tabela6].[Música].[All]" dimensionUniqueName="[Tabela6]" displayFolder="" count="0" memberValueDatatype="130" unbalanced="0"/>
    <cacheHierarchy uniqueName="[Tabela6].[Gênero]" caption="Gênero" attribute="1" defaultMemberUniqueName="[Tabela6].[Gênero].[All]" allUniqueName="[Tabela6].[Gênero].[All]" dimensionUniqueName="[Tabela6]" displayFolder="" count="2" memberValueDatatype="130" unbalanced="0">
      <fieldsUsage count="2">
        <fieldUsage x="-1"/>
        <fieldUsage x="0"/>
      </fieldsUsage>
    </cacheHierarchy>
    <cacheHierarchy uniqueName="[Tabela6].[Album]" caption="Album" attribute="1" defaultMemberUniqueName="[Tabela6].[Album].[All]" allUniqueName="[Tabela6].[Album].[All]" dimensionUniqueName="[Tabela6]" displayFolder="" count="0" memberValueDatatype="130" unbalanced="0"/>
    <cacheHierarchy uniqueName="[Tabela6].[Duração por segundos]" caption="Duração por segundos" attribute="1" defaultMemberUniqueName="[Tabela6].[Duração por segundos].[All]" allUniqueName="[Tabela6].[Duração por segundos].[All]" dimensionUniqueName="[Tabela6]" displayFolder="" count="0" memberValueDatatype="20" unbalanced="0"/>
    <cacheHierarchy uniqueName="[Tabela6].[Reproduções quantd.]" caption="Reproduções quantd." attribute="1" defaultMemberUniqueName="[Tabela6].[Reproduções quantd.].[All]" allUniqueName="[Tabela6].[Reproduções quantd.].[All]" dimensionUniqueName="[Tabela6]" displayFolder="" count="0" memberValueDatatype="20" unbalanced="0"/>
    <cacheHierarchy uniqueName="[Tabela6].[Tempo_Total_Segundos]" caption="Tempo_Total_Segundos" attribute="1" defaultMemberUniqueName="[Tabela6].[Tempo_Total_Segundos].[All]" allUniqueName="[Tabela6].[Tempo_Total_Segundos].[All]" dimensionUniqueName="[Tabela6]" displayFolder="" count="0" memberValueDatatype="20" unbalanced="0"/>
    <cacheHierarchy uniqueName="[Tabela6].[Tempo_Totl_Minutos]" caption="Tempo_Totl_Minutos" attribute="1" defaultMemberUniqueName="[Tabela6].[Tempo_Totl_Minutos].[All]" allUniqueName="[Tabela6].[Tempo_Totl_Minutos].[All]" dimensionUniqueName="[Tabela6]" displayFolder="" count="0" memberValueDatatype="5" unbalanced="0"/>
    <cacheHierarchy uniqueName="[Tabela6].[Tempo_Total_Horas]" caption="Tempo_Total_Horas" attribute="1" defaultMemberUniqueName="[Tabela6].[Tempo_Total_Horas].[All]" allUniqueName="[Tabela6].[Tempo_Total_Horas].[All]" dimensionUniqueName="[Tabela6]" displayFolder="" count="0" memberValueDatatype="5" unbalanced="0"/>
    <cacheHierarchy uniqueName="[Measures].[Contagem de ID]" caption="Contagem de ID" measure="1" displayFolder="" measureGroup="Tabela2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Tempo_Total_Segundos]" caption="Soma de Tempo_Total_Segundos" measure="1" displayFolder="" measureGroup="Tabela6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Tempo_Totl_Minutos]" caption="Soma de Tempo_Totl_Minutos" measure="1" displayFolder="" measureGroup="Tabela6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a de Reproduções quantd]" caption="Soma de Reproduções quantd" measure="1" displayFolder="" measureGroup="Tabela6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ntagem de Hora]" caption="Contagem de Hora" measure="1" displayFolder="" measureGroup="Tabela2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Segundos_Ouvidos]" caption="Soma de Segundos_Ouvidos" measure="1" displayFolder="" measureGroup="Tabela2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a de minutos_ouvidos]" caption="Soma de minutos_ouvidos" measure="1" displayFolder="" measureGroup="Tabela2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__XL_Count Tabela6]" caption="__XL_Count Tabela6" measure="1" displayFolder="" measureGroup="Tabela6" count="0" hidden="1"/>
    <cacheHierarchy uniqueName="[Measures].[__XL_Count Tabela2]" caption="__XL_Count Tabela2" measure="1" displayFolder="" measureGroup="Tabela2" count="0" hidden="1"/>
    <cacheHierarchy uniqueName="[Measures].[__XL_Count of Models]" caption="__XL_Count of Models" measure="1" displayFolder="" count="0" hidden="1"/>
  </cacheHierarchies>
  <kpis count="0"/>
  <dimensions count="3">
    <dimension measure="1" name="Measures" uniqueName="[Measures]" caption="Measures"/>
    <dimension name="Tabela2" uniqueName="[Tabela2]" caption="Tabela2"/>
    <dimension name="Tabela6" uniqueName="[Tabela6]" caption="Tabela6"/>
  </dimensions>
  <measureGroups count="2">
    <measureGroup name="Tabela2" caption="Tabela2"/>
    <measureGroup name="Tabela6" caption="Tabela6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Computador" refreshedDate="46323.073253587965" backgroundQuery="1" createdVersion="5" refreshedVersion="5" minRefreshableVersion="3" recordCount="0" supportSubquery="1" supportAdvancedDrill="1">
  <cacheSource type="external" connectionId="1"/>
  <cacheFields count="2">
    <cacheField name="[Tabela2].[Data].[Data]" caption="Data" numFmtId="0" level="1">
      <sharedItems containsSemiMixedTypes="0" containsNonDate="0" containsDate="1" containsString="0" minDate="2026-01-06T00:00:00" maxDate="2026-01-25T00:00:00" count="3">
        <d v="2026-01-06T00:00:00"/>
        <d v="2026-01-20T00:00:00"/>
        <d v="2026-01-24T00:00:00"/>
      </sharedItems>
    </cacheField>
    <cacheField name="[Measures].[Contagem de ID]" caption="Contagem de ID" numFmtId="0" hierarchy="18" level="32767"/>
  </cacheFields>
  <cacheHierarchies count="28">
    <cacheHierarchy uniqueName="[Tabela2].[Data]" caption="Data" attribute="1" time="1" defaultMemberUniqueName="[Tabela2].[Data].[All]" allUniqueName="[Tabela2].[Data].[All]" dimensionUniqueName="[Tabela2]" displayFolder="" count="2" memberValueDatatype="7" unbalanced="0">
      <fieldsUsage count="2">
        <fieldUsage x="-1"/>
        <fieldUsage x="0"/>
      </fieldsUsage>
    </cacheHierarchy>
    <cacheHierarchy uniqueName="[Tabela2].[Hora]" caption="Hora" attribute="1" time="1" defaultMemberUniqueName="[Tabela2].[Hora].[All]" allUniqueName="[Tabela2].[Hora].[All]" dimensionUniqueName="[Tabela2]" displayFolder="" count="0" memberValueDatatype="7" unbalanced="0"/>
    <cacheHierarchy uniqueName="[Tabela2].[ID]" caption="ID" attribute="1" defaultMemberUniqueName="[Tabela2].[ID].[All]" allUniqueName="[Tabela2].[ID].[All]" dimensionUniqueName="[Tabela2]" displayFolder="" count="0" memberValueDatatype="130" unbalanced="0"/>
    <cacheHierarchy uniqueName="[Tabela2].[Dispositivo]" caption="Dispositivo" attribute="1" defaultMemberUniqueName="[Tabela2].[Dispositivo].[All]" allUniqueName="[Tabela2].[Dispositivo].[All]" dimensionUniqueName="[Tabela2]" displayFolder="" count="0" memberValueDatatype="130" unbalanced="0"/>
    <cacheHierarchy uniqueName="[Tabela2].[Segundos_Ouvidos]" caption="Segundos_Ouvidos" attribute="1" defaultMemberUniqueName="[Tabela2].[Segundos_Ouvidos].[All]" allUniqueName="[Tabela2].[Segundos_Ouvidos].[All]" dimensionUniqueName="[Tabela2]" displayFolder="" count="0" memberValueDatatype="20" unbalanced="0"/>
    <cacheHierarchy uniqueName="[Tabela2].[minutos_ouvidos]" caption="minutos_ouvidos" attribute="1" defaultMemberUniqueName="[Tabela2].[minutos_ouvidos].[All]" allUniqueName="[Tabela2].[minutos_ouvidos].[All]" dimensionUniqueName="[Tabela2]" displayFolder="" count="0" memberValueDatatype="5" unbalanced="0"/>
    <cacheHierarchy uniqueName="[Tabela2].[Reprodução_Completa]" caption="Reprodução_Completa" attribute="1" defaultMemberUniqueName="[Tabela2].[Reprodução_Completa].[All]" allUniqueName="[Tabela2].[Reprodução_Completa].[All]" dimensionUniqueName="[Tabela2]" displayFolder="" count="0" memberValueDatatype="130" unbalanced="0"/>
    <cacheHierarchy uniqueName="[Tabela2].[Periodo_dia]" caption="Periodo_dia" attribute="1" defaultMemberUniqueName="[Tabela2].[Periodo_dia].[All]" allUniqueName="[Tabela2].[Periodo_dia].[All]" dimensionUniqueName="[Tabela2]" displayFolder="" count="0" memberValueDatatype="130" unbalanced="0"/>
    <cacheHierarchy uniqueName="[Tabela6].[Track_Id]" caption="Track_Id" attribute="1" defaultMemberUniqueName="[Tabela6].[Track_Id].[All]" allUniqueName="[Tabela6].[Track_Id].[All]" dimensionUniqueName="[Tabela6]" displayFolder="" count="0" memberValueDatatype="130" unbalanced="0"/>
    <cacheHierarchy uniqueName="[Tabela6].[Artista]" caption="Artista" attribute="1" defaultMemberUniqueName="[Tabela6].[Artista].[All]" allUniqueName="[Tabela6].[Artista].[All]" dimensionUniqueName="[Tabela6]" displayFolder="" count="0" memberValueDatatype="130" unbalanced="0"/>
    <cacheHierarchy uniqueName="[Tabela6].[Música]" caption="Música" attribute="1" defaultMemberUniqueName="[Tabela6].[Música].[All]" allUniqueName="[Tabela6].[Música].[All]" dimensionUniqueName="[Tabela6]" displayFolder="" count="0" memberValueDatatype="130" unbalanced="0"/>
    <cacheHierarchy uniqueName="[Tabela6].[Gênero]" caption="Gênero" attribute="1" defaultMemberUniqueName="[Tabela6].[Gênero].[All]" allUniqueName="[Tabela6].[Gênero].[All]" dimensionUniqueName="[Tabela6]" displayFolder="" count="0" memberValueDatatype="130" unbalanced="0"/>
    <cacheHierarchy uniqueName="[Tabela6].[Album]" caption="Album" attribute="1" defaultMemberUniqueName="[Tabela6].[Album].[All]" allUniqueName="[Tabela6].[Album].[All]" dimensionUniqueName="[Tabela6]" displayFolder="" count="0" memberValueDatatype="130" unbalanced="0"/>
    <cacheHierarchy uniqueName="[Tabela6].[Duração por segundos]" caption="Duração por segundos" attribute="1" defaultMemberUniqueName="[Tabela6].[Duração por segundos].[All]" allUniqueName="[Tabela6].[Duração por segundos].[All]" dimensionUniqueName="[Tabela6]" displayFolder="" count="0" memberValueDatatype="20" unbalanced="0"/>
    <cacheHierarchy uniqueName="[Tabela6].[Reproduções quantd.]" caption="Reproduções quantd." attribute="1" defaultMemberUniqueName="[Tabela6].[Reproduções quantd.].[All]" allUniqueName="[Tabela6].[Reproduções quantd.].[All]" dimensionUniqueName="[Tabela6]" displayFolder="" count="0" memberValueDatatype="20" unbalanced="0"/>
    <cacheHierarchy uniqueName="[Tabela6].[Tempo_Total_Segundos]" caption="Tempo_Total_Segundos" attribute="1" defaultMemberUniqueName="[Tabela6].[Tempo_Total_Segundos].[All]" allUniqueName="[Tabela6].[Tempo_Total_Segundos].[All]" dimensionUniqueName="[Tabela6]" displayFolder="" count="0" memberValueDatatype="20" unbalanced="0"/>
    <cacheHierarchy uniqueName="[Tabela6].[Tempo_Totl_Minutos]" caption="Tempo_Totl_Minutos" attribute="1" defaultMemberUniqueName="[Tabela6].[Tempo_Totl_Minutos].[All]" allUniqueName="[Tabela6].[Tempo_Totl_Minutos].[All]" dimensionUniqueName="[Tabela6]" displayFolder="" count="0" memberValueDatatype="5" unbalanced="0"/>
    <cacheHierarchy uniqueName="[Tabela6].[Tempo_Total_Horas]" caption="Tempo_Total_Horas" attribute="1" defaultMemberUniqueName="[Tabela6].[Tempo_Total_Horas].[All]" allUniqueName="[Tabela6].[Tempo_Total_Horas].[All]" dimensionUniqueName="[Tabela6]" displayFolder="" count="0" memberValueDatatype="5" unbalanced="0"/>
    <cacheHierarchy uniqueName="[Measures].[Contagem de ID]" caption="Contagem de ID" measure="1" displayFolder="" measureGroup="Tabela2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Tempo_Total_Segundos]" caption="Soma de Tempo_Total_Segundos" measure="1" displayFolder="" measureGroup="Tabela6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Tempo_Totl_Minutos]" caption="Soma de Tempo_Totl_Minutos" measure="1" displayFolder="" measureGroup="Tabela6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a de Reproduções quantd]" caption="Soma de Reproduções quantd" measure="1" displayFolder="" measureGroup="Tabela6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ntagem de Hora]" caption="Contagem de Hora" measure="1" displayFolder="" measureGroup="Tabela2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Segundos_Ouvidos]" caption="Soma de Segundos_Ouvidos" measure="1" displayFolder="" measureGroup="Tabela2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a de minutos_ouvidos]" caption="Soma de minutos_ouvidos" measure="1" displayFolder="" measureGroup="Tabela2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__XL_Count Tabela6]" caption="__XL_Count Tabela6" measure="1" displayFolder="" measureGroup="Tabela6" count="0" hidden="1"/>
    <cacheHierarchy uniqueName="[Measures].[__XL_Count Tabela2]" caption="__XL_Count Tabela2" measure="1" displayFolder="" measureGroup="Tabela2" count="0" hidden="1"/>
    <cacheHierarchy uniqueName="[Measures].[__XL_Count of Models]" caption="__XL_Count of Models" measure="1" displayFolder="" count="0" hidden="1"/>
  </cacheHierarchies>
  <kpis count="0"/>
  <dimensions count="3">
    <dimension measure="1" name="Measures" uniqueName="[Measures]" caption="Measures"/>
    <dimension name="Tabela2" uniqueName="[Tabela2]" caption="Tabela2"/>
    <dimension name="Tabela6" uniqueName="[Tabela6]" caption="Tabela6"/>
  </dimensions>
  <measureGroups count="2">
    <measureGroup name="Tabela2" caption="Tabela2"/>
    <measureGroup name="Tabela6" caption="Tabela6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Computador" refreshedDate="46323.073249421293" backgroundQuery="1" createdVersion="5" refreshedVersion="5" minRefreshableVersion="3" recordCount="0" supportSubquery="1" supportAdvancedDrill="1">
  <cacheSource type="external" connectionId="1"/>
  <cacheFields count="2">
    <cacheField name="[Tabela2].[Periodo_dia].[Periodo_dia]" caption="Periodo_dia" numFmtId="0" hierarchy="7" level="1">
      <sharedItems count="4">
        <s v="Madrugada"/>
        <s v="Manhã"/>
        <s v="Noite"/>
        <s v="Tarde"/>
      </sharedItems>
    </cacheField>
    <cacheField name="[Measures].[Contagem de Hora]" caption="Contagem de Hora" numFmtId="0" hierarchy="22" level="32767"/>
  </cacheFields>
  <cacheHierarchies count="28">
    <cacheHierarchy uniqueName="[Tabela2].[Data]" caption="Data" attribute="1" time="1" defaultMemberUniqueName="[Tabela2].[Data].[All]" allUniqueName="[Tabela2].[Data].[All]" dimensionUniqueName="[Tabela2]" displayFolder="" count="0" memberValueDatatype="7" unbalanced="0"/>
    <cacheHierarchy uniqueName="[Tabela2].[Hora]" caption="Hora" attribute="1" time="1" defaultMemberUniqueName="[Tabela2].[Hora].[All]" allUniqueName="[Tabela2].[Hora].[All]" dimensionUniqueName="[Tabela2]" displayFolder="" count="0" memberValueDatatype="7" unbalanced="0"/>
    <cacheHierarchy uniqueName="[Tabela2].[ID]" caption="ID" attribute="1" defaultMemberUniqueName="[Tabela2].[ID].[All]" allUniqueName="[Tabela2].[ID].[All]" dimensionUniqueName="[Tabela2]" displayFolder="" count="0" memberValueDatatype="130" unbalanced="0"/>
    <cacheHierarchy uniqueName="[Tabela2].[Dispositivo]" caption="Dispositivo" attribute="1" defaultMemberUniqueName="[Tabela2].[Dispositivo].[All]" allUniqueName="[Tabela2].[Dispositivo].[All]" dimensionUniqueName="[Tabela2]" displayFolder="" count="0" memberValueDatatype="130" unbalanced="0"/>
    <cacheHierarchy uniqueName="[Tabela2].[Segundos_Ouvidos]" caption="Segundos_Ouvidos" attribute="1" defaultMemberUniqueName="[Tabela2].[Segundos_Ouvidos].[All]" allUniqueName="[Tabela2].[Segundos_Ouvidos].[All]" dimensionUniqueName="[Tabela2]" displayFolder="" count="0" memberValueDatatype="20" unbalanced="0"/>
    <cacheHierarchy uniqueName="[Tabela2].[minutos_ouvidos]" caption="minutos_ouvidos" attribute="1" defaultMemberUniqueName="[Tabela2].[minutos_ouvidos].[All]" allUniqueName="[Tabela2].[minutos_ouvidos].[All]" dimensionUniqueName="[Tabela2]" displayFolder="" count="0" memberValueDatatype="5" unbalanced="0"/>
    <cacheHierarchy uniqueName="[Tabela2].[Reprodução_Completa]" caption="Reprodução_Completa" attribute="1" defaultMemberUniqueName="[Tabela2].[Reprodução_Completa].[All]" allUniqueName="[Tabela2].[Reprodução_Completa].[All]" dimensionUniqueName="[Tabela2]" displayFolder="" count="0" memberValueDatatype="130" unbalanced="0"/>
    <cacheHierarchy uniqueName="[Tabela2].[Periodo_dia]" caption="Periodo_dia" attribute="1" defaultMemberUniqueName="[Tabela2].[Periodo_dia].[All]" allUniqueName="[Tabela2].[Periodo_dia].[All]" dimensionUniqueName="[Tabela2]" displayFolder="" count="2" memberValueDatatype="130" unbalanced="0">
      <fieldsUsage count="2">
        <fieldUsage x="-1"/>
        <fieldUsage x="0"/>
      </fieldsUsage>
    </cacheHierarchy>
    <cacheHierarchy uniqueName="[Tabela6].[Track_Id]" caption="Track_Id" attribute="1" defaultMemberUniqueName="[Tabela6].[Track_Id].[All]" allUniqueName="[Tabela6].[Track_Id].[All]" dimensionUniqueName="[Tabela6]" displayFolder="" count="0" memberValueDatatype="130" unbalanced="0"/>
    <cacheHierarchy uniqueName="[Tabela6].[Artista]" caption="Artista" attribute="1" defaultMemberUniqueName="[Tabela6].[Artista].[All]" allUniqueName="[Tabela6].[Artista].[All]" dimensionUniqueName="[Tabela6]" displayFolder="" count="0" memberValueDatatype="130" unbalanced="0"/>
    <cacheHierarchy uniqueName="[Tabela6].[Música]" caption="Música" attribute="1" defaultMemberUniqueName="[Tabela6].[Música].[All]" allUniqueName="[Tabela6].[Música].[All]" dimensionUniqueName="[Tabela6]" displayFolder="" count="0" memberValueDatatype="130" unbalanced="0"/>
    <cacheHierarchy uniqueName="[Tabela6].[Gênero]" caption="Gênero" attribute="1" defaultMemberUniqueName="[Tabela6].[Gênero].[All]" allUniqueName="[Tabela6].[Gênero].[All]" dimensionUniqueName="[Tabela6]" displayFolder="" count="0" memberValueDatatype="130" unbalanced="0"/>
    <cacheHierarchy uniqueName="[Tabela6].[Album]" caption="Album" attribute="1" defaultMemberUniqueName="[Tabela6].[Album].[All]" allUniqueName="[Tabela6].[Album].[All]" dimensionUniqueName="[Tabela6]" displayFolder="" count="0" memberValueDatatype="130" unbalanced="0"/>
    <cacheHierarchy uniqueName="[Tabela6].[Duração por segundos]" caption="Duração por segundos" attribute="1" defaultMemberUniqueName="[Tabela6].[Duração por segundos].[All]" allUniqueName="[Tabela6].[Duração por segundos].[All]" dimensionUniqueName="[Tabela6]" displayFolder="" count="0" memberValueDatatype="20" unbalanced="0"/>
    <cacheHierarchy uniqueName="[Tabela6].[Reproduções quantd.]" caption="Reproduções quantd." attribute="1" defaultMemberUniqueName="[Tabela6].[Reproduções quantd.].[All]" allUniqueName="[Tabela6].[Reproduções quantd.].[All]" dimensionUniqueName="[Tabela6]" displayFolder="" count="0" memberValueDatatype="20" unbalanced="0"/>
    <cacheHierarchy uniqueName="[Tabela6].[Tempo_Total_Segundos]" caption="Tempo_Total_Segundos" attribute="1" defaultMemberUniqueName="[Tabela6].[Tempo_Total_Segundos].[All]" allUniqueName="[Tabela6].[Tempo_Total_Segundos].[All]" dimensionUniqueName="[Tabela6]" displayFolder="" count="0" memberValueDatatype="20" unbalanced="0"/>
    <cacheHierarchy uniqueName="[Tabela6].[Tempo_Totl_Minutos]" caption="Tempo_Totl_Minutos" attribute="1" defaultMemberUniqueName="[Tabela6].[Tempo_Totl_Minutos].[All]" allUniqueName="[Tabela6].[Tempo_Totl_Minutos].[All]" dimensionUniqueName="[Tabela6]" displayFolder="" count="0" memberValueDatatype="5" unbalanced="0"/>
    <cacheHierarchy uniqueName="[Tabela6].[Tempo_Total_Horas]" caption="Tempo_Total_Horas" attribute="1" defaultMemberUniqueName="[Tabela6].[Tempo_Total_Horas].[All]" allUniqueName="[Tabela6].[Tempo_Total_Horas].[All]" dimensionUniqueName="[Tabela6]" displayFolder="" count="0" memberValueDatatype="5" unbalanced="0"/>
    <cacheHierarchy uniqueName="[Measures].[Contagem de ID]" caption="Contagem de ID" measure="1" displayFolder="" measureGroup="Tabela2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Tempo_Total_Segundos]" caption="Soma de Tempo_Total_Segundos" measure="1" displayFolder="" measureGroup="Tabela6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Tempo_Totl_Minutos]" caption="Soma de Tempo_Totl_Minutos" measure="1" displayFolder="" measureGroup="Tabela6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a de Reproduções quantd]" caption="Soma de Reproduções quantd" measure="1" displayFolder="" measureGroup="Tabela6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ntagem de Hora]" caption="Contagem de Hora" measure="1" displayFolder="" measureGroup="Tabela2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Segundos_Ouvidos]" caption="Soma de Segundos_Ouvidos" measure="1" displayFolder="" measureGroup="Tabela2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a de minutos_ouvidos]" caption="Soma de minutos_ouvidos" measure="1" displayFolder="" measureGroup="Tabela2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__XL_Count Tabela6]" caption="__XL_Count Tabela6" measure="1" displayFolder="" measureGroup="Tabela6" count="0" hidden="1"/>
    <cacheHierarchy uniqueName="[Measures].[__XL_Count Tabela2]" caption="__XL_Count Tabela2" measure="1" displayFolder="" measureGroup="Tabela2" count="0" hidden="1"/>
    <cacheHierarchy uniqueName="[Measures].[__XL_Count of Models]" caption="__XL_Count of Models" measure="1" displayFolder="" count="0" hidden="1"/>
  </cacheHierarchies>
  <kpis count="0"/>
  <dimensions count="3">
    <dimension measure="1" name="Measures" uniqueName="[Measures]" caption="Measures"/>
    <dimension name="Tabela2" uniqueName="[Tabela2]" caption="Tabela2"/>
    <dimension name="Tabela6" uniqueName="[Tabela6]" caption="Tabela6"/>
  </dimensions>
  <measureGroups count="2">
    <measureGroup name="Tabela2" caption="Tabela2"/>
    <measureGroup name="Tabela6" caption="Tabela6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saveData="0" refreshedBy="Computador" refreshedDate="46323.073248379631" backgroundQuery="1" createdVersion="5" refreshedVersion="5" minRefreshableVersion="3" recordCount="0" supportSubquery="1" supportAdvancedDrill="1">
  <cacheSource type="external" connectionId="1"/>
  <cacheFields count="2">
    <cacheField name="[Measures].[Contagem de ID]" caption="Contagem de ID" numFmtId="0" hierarchy="18" level="32767"/>
    <cacheField name="[Tabela6].[Artista].[Artista]" caption="Artista" numFmtId="0" hierarchy="9" level="1">
      <sharedItems count="18">
        <s v="03Greedo"/>
        <s v="Felipe Amorim"/>
        <s v="Jorge&amp;Mateus"/>
        <s v="José Jr"/>
        <s v="Kaash Paige"/>
        <s v="Kaleb e Josh"/>
        <s v="Kemuel"/>
        <s v="Léo Foguete"/>
        <s v="Mateus&amp;Kauãn"/>
        <s v="Mc Kevin"/>
        <s v="Menos é Mais"/>
        <s v="Mwizz"/>
        <s v="Orochi"/>
        <s v="Pedrosa"/>
        <s v="Rarin"/>
        <s v="Riovaz"/>
        <s v="San Joe"/>
        <s v="Sotan"/>
      </sharedItems>
    </cacheField>
  </cacheFields>
  <cacheHierarchies count="28">
    <cacheHierarchy uniqueName="[Tabela2].[Data]" caption="Data" attribute="1" time="1" defaultMemberUniqueName="[Tabela2].[Data].[All]" allUniqueName="[Tabela2].[Data].[All]" dimensionUniqueName="[Tabela2]" displayFolder="" count="0" memberValueDatatype="7" unbalanced="0"/>
    <cacheHierarchy uniqueName="[Tabela2].[Hora]" caption="Hora" attribute="1" time="1" defaultMemberUniqueName="[Tabela2].[Hora].[All]" allUniqueName="[Tabela2].[Hora].[All]" dimensionUniqueName="[Tabela2]" displayFolder="" count="0" memberValueDatatype="7" unbalanced="0"/>
    <cacheHierarchy uniqueName="[Tabela2].[ID]" caption="ID" attribute="1" defaultMemberUniqueName="[Tabela2].[ID].[All]" allUniqueName="[Tabela2].[ID].[All]" dimensionUniqueName="[Tabela2]" displayFolder="" count="0" memberValueDatatype="130" unbalanced="0"/>
    <cacheHierarchy uniqueName="[Tabela2].[Dispositivo]" caption="Dispositivo" attribute="1" defaultMemberUniqueName="[Tabela2].[Dispositivo].[All]" allUniqueName="[Tabela2].[Dispositivo].[All]" dimensionUniqueName="[Tabela2]" displayFolder="" count="0" memberValueDatatype="130" unbalanced="0"/>
    <cacheHierarchy uniqueName="[Tabela2].[Segundos_Ouvidos]" caption="Segundos_Ouvidos" attribute="1" defaultMemberUniqueName="[Tabela2].[Segundos_Ouvidos].[All]" allUniqueName="[Tabela2].[Segundos_Ouvidos].[All]" dimensionUniqueName="[Tabela2]" displayFolder="" count="0" memberValueDatatype="20" unbalanced="0"/>
    <cacheHierarchy uniqueName="[Tabela2].[minutos_ouvidos]" caption="minutos_ouvidos" attribute="1" defaultMemberUniqueName="[Tabela2].[minutos_ouvidos].[All]" allUniqueName="[Tabela2].[minutos_ouvidos].[All]" dimensionUniqueName="[Tabela2]" displayFolder="" count="0" memberValueDatatype="5" unbalanced="0"/>
    <cacheHierarchy uniqueName="[Tabela2].[Reprodução_Completa]" caption="Reprodução_Completa" attribute="1" defaultMemberUniqueName="[Tabela2].[Reprodução_Completa].[All]" allUniqueName="[Tabela2].[Reprodução_Completa].[All]" dimensionUniqueName="[Tabela2]" displayFolder="" count="0" memberValueDatatype="130" unbalanced="0"/>
    <cacheHierarchy uniqueName="[Tabela2].[Periodo_dia]" caption="Periodo_dia" attribute="1" defaultMemberUniqueName="[Tabela2].[Periodo_dia].[All]" allUniqueName="[Tabela2].[Periodo_dia].[All]" dimensionUniqueName="[Tabela2]" displayFolder="" count="0" memberValueDatatype="130" unbalanced="0"/>
    <cacheHierarchy uniqueName="[Tabela6].[Track_Id]" caption="Track_Id" attribute="1" defaultMemberUniqueName="[Tabela6].[Track_Id].[All]" allUniqueName="[Tabela6].[Track_Id].[All]" dimensionUniqueName="[Tabela6]" displayFolder="" count="0" memberValueDatatype="130" unbalanced="0"/>
    <cacheHierarchy uniqueName="[Tabela6].[Artista]" caption="Artista" attribute="1" defaultMemberUniqueName="[Tabela6].[Artista].[All]" allUniqueName="[Tabela6].[Artista].[All]" dimensionUniqueName="[Tabela6]" displayFolder="" count="2" memberValueDatatype="130" unbalanced="0">
      <fieldsUsage count="2">
        <fieldUsage x="-1"/>
        <fieldUsage x="1"/>
      </fieldsUsage>
    </cacheHierarchy>
    <cacheHierarchy uniqueName="[Tabela6].[Música]" caption="Música" attribute="1" defaultMemberUniqueName="[Tabela6].[Música].[All]" allUniqueName="[Tabela6].[Música].[All]" dimensionUniqueName="[Tabela6]" displayFolder="" count="0" memberValueDatatype="130" unbalanced="0"/>
    <cacheHierarchy uniqueName="[Tabela6].[Gênero]" caption="Gênero" attribute="1" defaultMemberUniqueName="[Tabela6].[Gênero].[All]" allUniqueName="[Tabela6].[Gênero].[All]" dimensionUniqueName="[Tabela6]" displayFolder="" count="0" memberValueDatatype="130" unbalanced="0"/>
    <cacheHierarchy uniqueName="[Tabela6].[Album]" caption="Album" attribute="1" defaultMemberUniqueName="[Tabela6].[Album].[All]" allUniqueName="[Tabela6].[Album].[All]" dimensionUniqueName="[Tabela6]" displayFolder="" count="0" memberValueDatatype="130" unbalanced="0"/>
    <cacheHierarchy uniqueName="[Tabela6].[Duração por segundos]" caption="Duração por segundos" attribute="1" defaultMemberUniqueName="[Tabela6].[Duração por segundos].[All]" allUniqueName="[Tabela6].[Duração por segundos].[All]" dimensionUniqueName="[Tabela6]" displayFolder="" count="0" memberValueDatatype="20" unbalanced="0"/>
    <cacheHierarchy uniqueName="[Tabela6].[Reproduções quantd.]" caption="Reproduções quantd." attribute="1" defaultMemberUniqueName="[Tabela6].[Reproduções quantd.].[All]" allUniqueName="[Tabela6].[Reproduções quantd.].[All]" dimensionUniqueName="[Tabela6]" displayFolder="" count="0" memberValueDatatype="20" unbalanced="0"/>
    <cacheHierarchy uniqueName="[Tabela6].[Tempo_Total_Segundos]" caption="Tempo_Total_Segundos" attribute="1" defaultMemberUniqueName="[Tabela6].[Tempo_Total_Segundos].[All]" allUniqueName="[Tabela6].[Tempo_Total_Segundos].[All]" dimensionUniqueName="[Tabela6]" displayFolder="" count="0" memberValueDatatype="20" unbalanced="0"/>
    <cacheHierarchy uniqueName="[Tabela6].[Tempo_Totl_Minutos]" caption="Tempo_Totl_Minutos" attribute="1" defaultMemberUniqueName="[Tabela6].[Tempo_Totl_Minutos].[All]" allUniqueName="[Tabela6].[Tempo_Totl_Minutos].[All]" dimensionUniqueName="[Tabela6]" displayFolder="" count="0" memberValueDatatype="5" unbalanced="0"/>
    <cacheHierarchy uniqueName="[Tabela6].[Tempo_Total_Horas]" caption="Tempo_Total_Horas" attribute="1" defaultMemberUniqueName="[Tabela6].[Tempo_Total_Horas].[All]" allUniqueName="[Tabela6].[Tempo_Total_Horas].[All]" dimensionUniqueName="[Tabela6]" displayFolder="" count="0" memberValueDatatype="5" unbalanced="0"/>
    <cacheHierarchy uniqueName="[Measures].[Contagem de ID]" caption="Contagem de ID" measure="1" displayFolder="" measureGroup="Tabela2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Tempo_Total_Segundos]" caption="Soma de Tempo_Total_Segundos" measure="1" displayFolder="" measureGroup="Tabela6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Tempo_Totl_Minutos]" caption="Soma de Tempo_Totl_Minutos" measure="1" displayFolder="" measureGroup="Tabela6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a de Reproduções quantd]" caption="Soma de Reproduções quantd" measure="1" displayFolder="" measureGroup="Tabela6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ntagem de Hora]" caption="Contagem de Hora" measure="1" displayFolder="" measureGroup="Tabela2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Segundos_Ouvidos]" caption="Soma de Segundos_Ouvidos" measure="1" displayFolder="" measureGroup="Tabela2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a de minutos_ouvidos]" caption="Soma de minutos_ouvidos" measure="1" displayFolder="" measureGroup="Tabela2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__XL_Count Tabela6]" caption="__XL_Count Tabela6" measure="1" displayFolder="" measureGroup="Tabela6" count="0" hidden="1"/>
    <cacheHierarchy uniqueName="[Measures].[__XL_Count Tabela2]" caption="__XL_Count Tabela2" measure="1" displayFolder="" measureGroup="Tabela2" count="0" hidden="1"/>
    <cacheHierarchy uniqueName="[Measures].[__XL_Count of Models]" caption="__XL_Count of Models" measure="1" displayFolder="" count="0" hidden="1"/>
  </cacheHierarchies>
  <kpis count="0"/>
  <dimensions count="3">
    <dimension measure="1" name="Measures" uniqueName="[Measures]" caption="Measures"/>
    <dimension name="Tabela2" uniqueName="[Tabela2]" caption="Tabela2"/>
    <dimension name="Tabela6" uniqueName="[Tabela6]" caption="Tabela6"/>
  </dimensions>
  <measureGroups count="2">
    <measureGroup name="Tabela2" caption="Tabela2"/>
    <measureGroup name="Tabela6" caption="Tabela6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saveData="0" refreshedBy="Computador" refreshedDate="46323.073247337961" backgroundQuery="1" createdVersion="5" refreshedVersion="5" minRefreshableVersion="3" recordCount="0" supportSubquery="1" supportAdvancedDrill="1">
  <cacheSource type="external" connectionId="1"/>
  <cacheFields count="2">
    <cacheField name="[Tabela2].[Dispositivo].[Dispositivo]" caption="Dispositivo" numFmtId="0" hierarchy="3" level="1">
      <sharedItems count="3">
        <s v="Celular"/>
        <s v="Computador"/>
        <s v="tablet"/>
      </sharedItems>
    </cacheField>
    <cacheField name="[Measures].[Contagem de ID]" caption="Contagem de ID" numFmtId="0" hierarchy="18" level="32767"/>
  </cacheFields>
  <cacheHierarchies count="28">
    <cacheHierarchy uniqueName="[Tabela2].[Data]" caption="Data" attribute="1" time="1" defaultMemberUniqueName="[Tabela2].[Data].[All]" allUniqueName="[Tabela2].[Data].[All]" dimensionUniqueName="[Tabela2]" displayFolder="" count="0" memberValueDatatype="7" unbalanced="0"/>
    <cacheHierarchy uniqueName="[Tabela2].[Hora]" caption="Hora" attribute="1" time="1" defaultMemberUniqueName="[Tabela2].[Hora].[All]" allUniqueName="[Tabela2].[Hora].[All]" dimensionUniqueName="[Tabela2]" displayFolder="" count="0" memberValueDatatype="7" unbalanced="0"/>
    <cacheHierarchy uniqueName="[Tabela2].[ID]" caption="ID" attribute="1" defaultMemberUniqueName="[Tabela2].[ID].[All]" allUniqueName="[Tabela2].[ID].[All]" dimensionUniqueName="[Tabela2]" displayFolder="" count="0" memberValueDatatype="130" unbalanced="0"/>
    <cacheHierarchy uniqueName="[Tabela2].[Dispositivo]" caption="Dispositivo" attribute="1" defaultMemberUniqueName="[Tabela2].[Dispositivo].[All]" allUniqueName="[Tabela2].[Dispositivo].[All]" dimensionUniqueName="[Tabela2]" displayFolder="" count="2" memberValueDatatype="130" unbalanced="0">
      <fieldsUsage count="2">
        <fieldUsage x="-1"/>
        <fieldUsage x="0"/>
      </fieldsUsage>
    </cacheHierarchy>
    <cacheHierarchy uniqueName="[Tabela2].[Segundos_Ouvidos]" caption="Segundos_Ouvidos" attribute="1" defaultMemberUniqueName="[Tabela2].[Segundos_Ouvidos].[All]" allUniqueName="[Tabela2].[Segundos_Ouvidos].[All]" dimensionUniqueName="[Tabela2]" displayFolder="" count="0" memberValueDatatype="20" unbalanced="0"/>
    <cacheHierarchy uniqueName="[Tabela2].[minutos_ouvidos]" caption="minutos_ouvidos" attribute="1" defaultMemberUniqueName="[Tabela2].[minutos_ouvidos].[All]" allUniqueName="[Tabela2].[minutos_ouvidos].[All]" dimensionUniqueName="[Tabela2]" displayFolder="" count="0" memberValueDatatype="5" unbalanced="0"/>
    <cacheHierarchy uniqueName="[Tabela2].[Reprodução_Completa]" caption="Reprodução_Completa" attribute="1" defaultMemberUniqueName="[Tabela2].[Reprodução_Completa].[All]" allUniqueName="[Tabela2].[Reprodução_Completa].[All]" dimensionUniqueName="[Tabela2]" displayFolder="" count="0" memberValueDatatype="130" unbalanced="0"/>
    <cacheHierarchy uniqueName="[Tabela2].[Periodo_dia]" caption="Periodo_dia" attribute="1" defaultMemberUniqueName="[Tabela2].[Periodo_dia].[All]" allUniqueName="[Tabela2].[Periodo_dia].[All]" dimensionUniqueName="[Tabela2]" displayFolder="" count="0" memberValueDatatype="130" unbalanced="0"/>
    <cacheHierarchy uniqueName="[Tabela6].[Track_Id]" caption="Track_Id" attribute="1" defaultMemberUniqueName="[Tabela6].[Track_Id].[All]" allUniqueName="[Tabela6].[Track_Id].[All]" dimensionUniqueName="[Tabela6]" displayFolder="" count="0" memberValueDatatype="130" unbalanced="0"/>
    <cacheHierarchy uniqueName="[Tabela6].[Artista]" caption="Artista" attribute="1" defaultMemberUniqueName="[Tabela6].[Artista].[All]" allUniqueName="[Tabela6].[Artista].[All]" dimensionUniqueName="[Tabela6]" displayFolder="" count="0" memberValueDatatype="130" unbalanced="0"/>
    <cacheHierarchy uniqueName="[Tabela6].[Música]" caption="Música" attribute="1" defaultMemberUniqueName="[Tabela6].[Música].[All]" allUniqueName="[Tabela6].[Música].[All]" dimensionUniqueName="[Tabela6]" displayFolder="" count="0" memberValueDatatype="130" unbalanced="0"/>
    <cacheHierarchy uniqueName="[Tabela6].[Gênero]" caption="Gênero" attribute="1" defaultMemberUniqueName="[Tabela6].[Gênero].[All]" allUniqueName="[Tabela6].[Gênero].[All]" dimensionUniqueName="[Tabela6]" displayFolder="" count="0" memberValueDatatype="130" unbalanced="0"/>
    <cacheHierarchy uniqueName="[Tabela6].[Album]" caption="Album" attribute="1" defaultMemberUniqueName="[Tabela6].[Album].[All]" allUniqueName="[Tabela6].[Album].[All]" dimensionUniqueName="[Tabela6]" displayFolder="" count="0" memberValueDatatype="130" unbalanced="0"/>
    <cacheHierarchy uniqueName="[Tabela6].[Duração por segundos]" caption="Duração por segundos" attribute="1" defaultMemberUniqueName="[Tabela6].[Duração por segundos].[All]" allUniqueName="[Tabela6].[Duração por segundos].[All]" dimensionUniqueName="[Tabela6]" displayFolder="" count="0" memberValueDatatype="20" unbalanced="0"/>
    <cacheHierarchy uniqueName="[Tabela6].[Reproduções quantd.]" caption="Reproduções quantd." attribute="1" defaultMemberUniqueName="[Tabela6].[Reproduções quantd.].[All]" allUniqueName="[Tabela6].[Reproduções quantd.].[All]" dimensionUniqueName="[Tabela6]" displayFolder="" count="0" memberValueDatatype="20" unbalanced="0"/>
    <cacheHierarchy uniqueName="[Tabela6].[Tempo_Total_Segundos]" caption="Tempo_Total_Segundos" attribute="1" defaultMemberUniqueName="[Tabela6].[Tempo_Total_Segundos].[All]" allUniqueName="[Tabela6].[Tempo_Total_Segundos].[All]" dimensionUniqueName="[Tabela6]" displayFolder="" count="0" memberValueDatatype="20" unbalanced="0"/>
    <cacheHierarchy uniqueName="[Tabela6].[Tempo_Totl_Minutos]" caption="Tempo_Totl_Minutos" attribute="1" defaultMemberUniqueName="[Tabela6].[Tempo_Totl_Minutos].[All]" allUniqueName="[Tabela6].[Tempo_Totl_Minutos].[All]" dimensionUniqueName="[Tabela6]" displayFolder="" count="0" memberValueDatatype="5" unbalanced="0"/>
    <cacheHierarchy uniqueName="[Tabela6].[Tempo_Total_Horas]" caption="Tempo_Total_Horas" attribute="1" defaultMemberUniqueName="[Tabela6].[Tempo_Total_Horas].[All]" allUniqueName="[Tabela6].[Tempo_Total_Horas].[All]" dimensionUniqueName="[Tabela6]" displayFolder="" count="0" memberValueDatatype="5" unbalanced="0"/>
    <cacheHierarchy uniqueName="[Measures].[Contagem de ID]" caption="Contagem de ID" measure="1" displayFolder="" measureGroup="Tabela2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Tempo_Total_Segundos]" caption="Soma de Tempo_Total_Segundos" measure="1" displayFolder="" measureGroup="Tabela6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Tempo_Totl_Minutos]" caption="Soma de Tempo_Totl_Minutos" measure="1" displayFolder="" measureGroup="Tabela6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a de Reproduções quantd]" caption="Soma de Reproduções quantd" measure="1" displayFolder="" measureGroup="Tabela6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ntagem de Hora]" caption="Contagem de Hora" measure="1" displayFolder="" measureGroup="Tabela2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Segundos_Ouvidos]" caption="Soma de Segundos_Ouvidos" measure="1" displayFolder="" measureGroup="Tabela2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a de minutos_ouvidos]" caption="Soma de minutos_ouvidos" measure="1" displayFolder="" measureGroup="Tabela2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__XL_Count Tabela6]" caption="__XL_Count Tabela6" measure="1" displayFolder="" measureGroup="Tabela6" count="0" hidden="1"/>
    <cacheHierarchy uniqueName="[Measures].[__XL_Count Tabela2]" caption="__XL_Count Tabela2" measure="1" displayFolder="" measureGroup="Tabela2" count="0" hidden="1"/>
    <cacheHierarchy uniqueName="[Measures].[__XL_Count of Models]" caption="__XL_Count of Models" measure="1" displayFolder="" count="0" hidden="1"/>
  </cacheHierarchies>
  <kpis count="0"/>
  <dimensions count="3">
    <dimension measure="1" name="Measures" uniqueName="[Measures]" caption="Measures"/>
    <dimension name="Tabela2" uniqueName="[Tabela2]" caption="Tabela2"/>
    <dimension name="Tabela6" uniqueName="[Tabela6]" caption="Tabela6"/>
  </dimensions>
  <measureGroups count="2">
    <measureGroup name="Tabela2" caption="Tabela2"/>
    <measureGroup name="Tabela6" caption="Tabela6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saveData="0" refreshedBy="Computador" refreshedDate="46323.093266550924" backgroundQuery="1" createdVersion="5" refreshedVersion="5" minRefreshableVersion="3" recordCount="0" supportSubquery="1" supportAdvancedDrill="1">
  <cacheSource type="external" connectionId="1"/>
  <cacheFields count="3">
    <cacheField name="[Measures].[Contagem de ID]" caption="Contagem de ID" numFmtId="0" hierarchy="18" level="32767"/>
    <cacheField name="[Tabela6].[Música].[Música]" caption="Música" numFmtId="0" hierarchy="10" level="1">
      <sharedItems count="1">
        <s v="Sem lovizin"/>
      </sharedItems>
    </cacheField>
    <cacheField name="[Measures].[Soma de minutos_ouvidos]" caption="Soma de minutos_ouvidos" numFmtId="0" hierarchy="24" level="32767"/>
  </cacheFields>
  <cacheHierarchies count="28">
    <cacheHierarchy uniqueName="[Tabela2].[Data]" caption="Data" attribute="1" time="1" defaultMemberUniqueName="[Tabela2].[Data].[All]" allUniqueName="[Tabela2].[Data].[All]" dimensionUniqueName="[Tabela2]" displayFolder="" count="0" memberValueDatatype="7" unbalanced="0"/>
    <cacheHierarchy uniqueName="[Tabela2].[Hora]" caption="Hora" attribute="1" time="1" defaultMemberUniqueName="[Tabela2].[Hora].[All]" allUniqueName="[Tabela2].[Hora].[All]" dimensionUniqueName="[Tabela2]" displayFolder="" count="0" memberValueDatatype="7" unbalanced="0"/>
    <cacheHierarchy uniqueName="[Tabela2].[ID]" caption="ID" attribute="1" defaultMemberUniqueName="[Tabela2].[ID].[All]" allUniqueName="[Tabela2].[ID].[All]" dimensionUniqueName="[Tabela2]" displayFolder="" count="0" memberValueDatatype="130" unbalanced="0"/>
    <cacheHierarchy uniqueName="[Tabela2].[Dispositivo]" caption="Dispositivo" attribute="1" defaultMemberUniqueName="[Tabela2].[Dispositivo].[All]" allUniqueName="[Tabela2].[Dispositivo].[All]" dimensionUniqueName="[Tabela2]" displayFolder="" count="0" memberValueDatatype="130" unbalanced="0"/>
    <cacheHierarchy uniqueName="[Tabela2].[Segundos_Ouvidos]" caption="Segundos_Ouvidos" attribute="1" defaultMemberUniqueName="[Tabela2].[Segundos_Ouvidos].[All]" allUniqueName="[Tabela2].[Segundos_Ouvidos].[All]" dimensionUniqueName="[Tabela2]" displayFolder="" count="0" memberValueDatatype="20" unbalanced="0"/>
    <cacheHierarchy uniqueName="[Tabela2].[minutos_ouvidos]" caption="minutos_ouvidos" attribute="1" defaultMemberUniqueName="[Tabela2].[minutos_ouvidos].[All]" allUniqueName="[Tabela2].[minutos_ouvidos].[All]" dimensionUniqueName="[Tabela2]" displayFolder="" count="0" memberValueDatatype="5" unbalanced="0"/>
    <cacheHierarchy uniqueName="[Tabela2].[Reprodução_Completa]" caption="Reprodução_Completa" attribute="1" defaultMemberUniqueName="[Tabela2].[Reprodução_Completa].[All]" allUniqueName="[Tabela2].[Reprodução_Completa].[All]" dimensionUniqueName="[Tabela2]" displayFolder="" count="0" memberValueDatatype="130" unbalanced="0"/>
    <cacheHierarchy uniqueName="[Tabela2].[Periodo_dia]" caption="Periodo_dia" attribute="1" defaultMemberUniqueName="[Tabela2].[Periodo_dia].[All]" allUniqueName="[Tabela2].[Periodo_dia].[All]" dimensionUniqueName="[Tabela2]" displayFolder="" count="0" memberValueDatatype="130" unbalanced="0"/>
    <cacheHierarchy uniqueName="[Tabela6].[Track_Id]" caption="Track_Id" attribute="1" defaultMemberUniqueName="[Tabela6].[Track_Id].[All]" allUniqueName="[Tabela6].[Track_Id].[All]" dimensionUniqueName="[Tabela6]" displayFolder="" count="0" memberValueDatatype="130" unbalanced="0"/>
    <cacheHierarchy uniqueName="[Tabela6].[Artista]" caption="Artista" attribute="1" defaultMemberUniqueName="[Tabela6].[Artista].[All]" allUniqueName="[Tabela6].[Artista].[All]" dimensionUniqueName="[Tabela6]" displayFolder="" count="0" memberValueDatatype="130" unbalanced="0"/>
    <cacheHierarchy uniqueName="[Tabela6].[Música]" caption="Música" attribute="1" defaultMemberUniqueName="[Tabela6].[Música].[All]" allUniqueName="[Tabela6].[Música].[All]" dimensionUniqueName="[Tabela6]" displayFolder="" count="2" memberValueDatatype="130" unbalanced="0">
      <fieldsUsage count="2">
        <fieldUsage x="-1"/>
        <fieldUsage x="1"/>
      </fieldsUsage>
    </cacheHierarchy>
    <cacheHierarchy uniqueName="[Tabela6].[Gênero]" caption="Gênero" attribute="1" defaultMemberUniqueName="[Tabela6].[Gênero].[All]" allUniqueName="[Tabela6].[Gênero].[All]" dimensionUniqueName="[Tabela6]" displayFolder="" count="0" memberValueDatatype="130" unbalanced="0"/>
    <cacheHierarchy uniqueName="[Tabela6].[Album]" caption="Album" attribute="1" defaultMemberUniqueName="[Tabela6].[Album].[All]" allUniqueName="[Tabela6].[Album].[All]" dimensionUniqueName="[Tabela6]" displayFolder="" count="0" memberValueDatatype="130" unbalanced="0"/>
    <cacheHierarchy uniqueName="[Tabela6].[Duração por segundos]" caption="Duração por segundos" attribute="1" defaultMemberUniqueName="[Tabela6].[Duração por segundos].[All]" allUniqueName="[Tabela6].[Duração por segundos].[All]" dimensionUniqueName="[Tabela6]" displayFolder="" count="0" memberValueDatatype="20" unbalanced="0"/>
    <cacheHierarchy uniqueName="[Tabela6].[Reproduções quantd.]" caption="Reproduções quantd." attribute="1" defaultMemberUniqueName="[Tabela6].[Reproduções quantd.].[All]" allUniqueName="[Tabela6].[Reproduções quantd.].[All]" dimensionUniqueName="[Tabela6]" displayFolder="" count="0" memberValueDatatype="20" unbalanced="0"/>
    <cacheHierarchy uniqueName="[Tabela6].[Tempo_Total_Segundos]" caption="Tempo_Total_Segundos" attribute="1" defaultMemberUniqueName="[Tabela6].[Tempo_Total_Segundos].[All]" allUniqueName="[Tabela6].[Tempo_Total_Segundos].[All]" dimensionUniqueName="[Tabela6]" displayFolder="" count="0" memberValueDatatype="20" unbalanced="0"/>
    <cacheHierarchy uniqueName="[Tabela6].[Tempo_Totl_Minutos]" caption="Tempo_Totl_Minutos" attribute="1" defaultMemberUniqueName="[Tabela6].[Tempo_Totl_Minutos].[All]" allUniqueName="[Tabela6].[Tempo_Totl_Minutos].[All]" dimensionUniqueName="[Tabela6]" displayFolder="" count="0" memberValueDatatype="5" unbalanced="0"/>
    <cacheHierarchy uniqueName="[Tabela6].[Tempo_Total_Horas]" caption="Tempo_Total_Horas" attribute="1" defaultMemberUniqueName="[Tabela6].[Tempo_Total_Horas].[All]" allUniqueName="[Tabela6].[Tempo_Total_Horas].[All]" dimensionUniqueName="[Tabela6]" displayFolder="" count="0" memberValueDatatype="5" unbalanced="0"/>
    <cacheHierarchy uniqueName="[Measures].[Contagem de ID]" caption="Contagem de ID" measure="1" displayFolder="" measureGroup="Tabela2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Tempo_Total_Segundos]" caption="Soma de Tempo_Total_Segundos" measure="1" displayFolder="" measureGroup="Tabela6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Tempo_Totl_Minutos]" caption="Soma de Tempo_Totl_Minutos" measure="1" displayFolder="" measureGroup="Tabela6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a de Reproduções quantd]" caption="Soma de Reproduções quantd" measure="1" displayFolder="" measureGroup="Tabela6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ntagem de Hora]" caption="Contagem de Hora" measure="1" displayFolder="" measureGroup="Tabela2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Segundos_Ouvidos]" caption="Soma de Segundos_Ouvidos" measure="1" displayFolder="" measureGroup="Tabela2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a de minutos_ouvidos]" caption="Soma de minutos_ouvidos" measure="1" displayFolder="" measureGroup="Tabela2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__XL_Count Tabela6]" caption="__XL_Count Tabela6" measure="1" displayFolder="" measureGroup="Tabela6" count="0" hidden="1"/>
    <cacheHierarchy uniqueName="[Measures].[__XL_Count Tabela2]" caption="__XL_Count Tabela2" measure="1" displayFolder="" measureGroup="Tabela2" count="0" hidden="1"/>
    <cacheHierarchy uniqueName="[Measures].[__XL_Count of Models]" caption="__XL_Count of Models" measure="1" displayFolder="" count="0" hidden="1"/>
  </cacheHierarchies>
  <kpis count="0"/>
  <dimensions count="3">
    <dimension measure="1" name="Measures" uniqueName="[Measures]" caption="Measures"/>
    <dimension name="Tabela2" uniqueName="[Tabela2]" caption="Tabela2"/>
    <dimension name="Tabela6" uniqueName="[Tabela6]" caption="Tabela6"/>
  </dimensions>
  <measureGroups count="2">
    <measureGroup name="Tabela2" caption="Tabela2"/>
    <measureGroup name="Tabela6" caption="Tabela6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saveData="0" refreshedBy="Computador" refreshedDate="46323.093410069443" backgroundQuery="1" createdVersion="5" refreshedVersion="5" minRefreshableVersion="3" recordCount="0" supportSubquery="1" supportAdvancedDrill="1">
  <cacheSource type="external" connectionId="1"/>
  <cacheFields count="2">
    <cacheField name="[Tabela6].[Artista].[Artista]" caption="Artista" numFmtId="0" hierarchy="9" level="1">
      <sharedItems count="1">
        <s v="Felipe Amorim"/>
      </sharedItems>
    </cacheField>
    <cacheField name="[Measures].[Soma de Tempo_Totl_Minutos]" caption="Soma de Tempo_Totl_Minutos" numFmtId="0" hierarchy="20" level="32767"/>
  </cacheFields>
  <cacheHierarchies count="28">
    <cacheHierarchy uniqueName="[Tabela2].[Data]" caption="Data" attribute="1" time="1" defaultMemberUniqueName="[Tabela2].[Data].[All]" allUniqueName="[Tabela2].[Data].[All]" dimensionUniqueName="[Tabela2]" displayFolder="" count="0" memberValueDatatype="7" unbalanced="0"/>
    <cacheHierarchy uniqueName="[Tabela2].[Hora]" caption="Hora" attribute="1" time="1" defaultMemberUniqueName="[Tabela2].[Hora].[All]" allUniqueName="[Tabela2].[Hora].[All]" dimensionUniqueName="[Tabela2]" displayFolder="" count="0" memberValueDatatype="7" unbalanced="0"/>
    <cacheHierarchy uniqueName="[Tabela2].[ID]" caption="ID" attribute="1" defaultMemberUniqueName="[Tabela2].[ID].[All]" allUniqueName="[Tabela2].[ID].[All]" dimensionUniqueName="[Tabela2]" displayFolder="" count="0" memberValueDatatype="130" unbalanced="0"/>
    <cacheHierarchy uniqueName="[Tabela2].[Dispositivo]" caption="Dispositivo" attribute="1" defaultMemberUniqueName="[Tabela2].[Dispositivo].[All]" allUniqueName="[Tabela2].[Dispositivo].[All]" dimensionUniqueName="[Tabela2]" displayFolder="" count="0" memberValueDatatype="130" unbalanced="0"/>
    <cacheHierarchy uniqueName="[Tabela2].[Segundos_Ouvidos]" caption="Segundos_Ouvidos" attribute="1" defaultMemberUniqueName="[Tabela2].[Segundos_Ouvidos].[All]" allUniqueName="[Tabela2].[Segundos_Ouvidos].[All]" dimensionUniqueName="[Tabela2]" displayFolder="" count="0" memberValueDatatype="20" unbalanced="0"/>
    <cacheHierarchy uniqueName="[Tabela2].[minutos_ouvidos]" caption="minutos_ouvidos" attribute="1" defaultMemberUniqueName="[Tabela2].[minutos_ouvidos].[All]" allUniqueName="[Tabela2].[minutos_ouvidos].[All]" dimensionUniqueName="[Tabela2]" displayFolder="" count="0" memberValueDatatype="5" unbalanced="0"/>
    <cacheHierarchy uniqueName="[Tabela2].[Reprodução_Completa]" caption="Reprodução_Completa" attribute="1" defaultMemberUniqueName="[Tabela2].[Reprodução_Completa].[All]" allUniqueName="[Tabela2].[Reprodução_Completa].[All]" dimensionUniqueName="[Tabela2]" displayFolder="" count="0" memberValueDatatype="130" unbalanced="0"/>
    <cacheHierarchy uniqueName="[Tabela2].[Periodo_dia]" caption="Periodo_dia" attribute="1" defaultMemberUniqueName="[Tabela2].[Periodo_dia].[All]" allUniqueName="[Tabela2].[Periodo_dia].[All]" dimensionUniqueName="[Tabela2]" displayFolder="" count="0" memberValueDatatype="130" unbalanced="0"/>
    <cacheHierarchy uniqueName="[Tabela6].[Track_Id]" caption="Track_Id" attribute="1" defaultMemberUniqueName="[Tabela6].[Track_Id].[All]" allUniqueName="[Tabela6].[Track_Id].[All]" dimensionUniqueName="[Tabela6]" displayFolder="" count="0" memberValueDatatype="130" unbalanced="0"/>
    <cacheHierarchy uniqueName="[Tabela6].[Artista]" caption="Artista" attribute="1" defaultMemberUniqueName="[Tabela6].[Artista].[All]" allUniqueName="[Tabela6].[Artista].[All]" dimensionUniqueName="[Tabela6]" displayFolder="" count="2" memberValueDatatype="130" unbalanced="0">
      <fieldsUsage count="2">
        <fieldUsage x="-1"/>
        <fieldUsage x="0"/>
      </fieldsUsage>
    </cacheHierarchy>
    <cacheHierarchy uniqueName="[Tabela6].[Música]" caption="Música" attribute="1" defaultMemberUniqueName="[Tabela6].[Música].[All]" allUniqueName="[Tabela6].[Música].[All]" dimensionUniqueName="[Tabela6]" displayFolder="" count="0" memberValueDatatype="130" unbalanced="0"/>
    <cacheHierarchy uniqueName="[Tabela6].[Gênero]" caption="Gênero" attribute="1" defaultMemberUniqueName="[Tabela6].[Gênero].[All]" allUniqueName="[Tabela6].[Gênero].[All]" dimensionUniqueName="[Tabela6]" displayFolder="" count="0" memberValueDatatype="130" unbalanced="0"/>
    <cacheHierarchy uniqueName="[Tabela6].[Album]" caption="Album" attribute="1" defaultMemberUniqueName="[Tabela6].[Album].[All]" allUniqueName="[Tabela6].[Album].[All]" dimensionUniqueName="[Tabela6]" displayFolder="" count="0" memberValueDatatype="130" unbalanced="0"/>
    <cacheHierarchy uniqueName="[Tabela6].[Duração por segundos]" caption="Duração por segundos" attribute="1" defaultMemberUniqueName="[Tabela6].[Duração por segundos].[All]" allUniqueName="[Tabela6].[Duração por segundos].[All]" dimensionUniqueName="[Tabela6]" displayFolder="" count="0" memberValueDatatype="20" unbalanced="0"/>
    <cacheHierarchy uniqueName="[Tabela6].[Reproduções quantd.]" caption="Reproduções quantd." attribute="1" defaultMemberUniqueName="[Tabela6].[Reproduções quantd.].[All]" allUniqueName="[Tabela6].[Reproduções quantd.].[All]" dimensionUniqueName="[Tabela6]" displayFolder="" count="0" memberValueDatatype="20" unbalanced="0"/>
    <cacheHierarchy uniqueName="[Tabela6].[Tempo_Total_Segundos]" caption="Tempo_Total_Segundos" attribute="1" defaultMemberUniqueName="[Tabela6].[Tempo_Total_Segundos].[All]" allUniqueName="[Tabela6].[Tempo_Total_Segundos].[All]" dimensionUniqueName="[Tabela6]" displayFolder="" count="0" memberValueDatatype="20" unbalanced="0"/>
    <cacheHierarchy uniqueName="[Tabela6].[Tempo_Totl_Minutos]" caption="Tempo_Totl_Minutos" attribute="1" defaultMemberUniqueName="[Tabela6].[Tempo_Totl_Minutos].[All]" allUniqueName="[Tabela6].[Tempo_Totl_Minutos].[All]" dimensionUniqueName="[Tabela6]" displayFolder="" count="0" memberValueDatatype="5" unbalanced="0"/>
    <cacheHierarchy uniqueName="[Tabela6].[Tempo_Total_Horas]" caption="Tempo_Total_Horas" attribute="1" defaultMemberUniqueName="[Tabela6].[Tempo_Total_Horas].[All]" allUniqueName="[Tabela6].[Tempo_Total_Horas].[All]" dimensionUniqueName="[Tabela6]" displayFolder="" count="0" memberValueDatatype="5" unbalanced="0"/>
    <cacheHierarchy uniqueName="[Measures].[Contagem de ID]" caption="Contagem de ID" measure="1" displayFolder="" measureGroup="Tabela2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Tempo_Total_Segundos]" caption="Soma de Tempo_Total_Segundos" measure="1" displayFolder="" measureGroup="Tabela6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Tempo_Totl_Minutos]" caption="Soma de Tempo_Totl_Minutos" measure="1" displayFolder="" measureGroup="Tabela6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a de Reproduções quantd]" caption="Soma de Reproduções quantd" measure="1" displayFolder="" measureGroup="Tabela6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ntagem de Hora]" caption="Contagem de Hora" measure="1" displayFolder="" measureGroup="Tabela2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Segundos_Ouvidos]" caption="Soma de Segundos_Ouvidos" measure="1" displayFolder="" measureGroup="Tabela2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a de minutos_ouvidos]" caption="Soma de minutos_ouvidos" measure="1" displayFolder="" measureGroup="Tabela2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__XL_Count Tabela6]" caption="__XL_Count Tabela6" measure="1" displayFolder="" measureGroup="Tabela6" count="0" hidden="1"/>
    <cacheHierarchy uniqueName="[Measures].[__XL_Count Tabela2]" caption="__XL_Count Tabela2" measure="1" displayFolder="" measureGroup="Tabela2" count="0" hidden="1"/>
    <cacheHierarchy uniqueName="[Measures].[__XL_Count of Models]" caption="__XL_Count of Models" measure="1" displayFolder="" count="0" hidden="1"/>
  </cacheHierarchies>
  <kpis count="0"/>
  <dimensions count="3">
    <dimension measure="1" name="Measures" uniqueName="[Measures]" caption="Measures"/>
    <dimension name="Tabela2" uniqueName="[Tabela2]" caption="Tabela2"/>
    <dimension name="Tabela6" uniqueName="[Tabela6]" caption="Tabela6"/>
  </dimensions>
  <measureGroups count="2">
    <measureGroup name="Tabela2" caption="Tabela2"/>
    <measureGroup name="Tabela6" caption="Tabela6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saveData="0" refreshedBy="Computador" refreshedDate="46323.073244097221" backgroundQuery="1" createdVersion="3" refreshedVersion="5" minRefreshableVersion="3" recordCount="0" supportSubquery="1" supportAdvancedDrill="1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7">
    <cacheHierarchy uniqueName="[Tabela2].[Data]" caption="Data" attribute="1" time="1" defaultMemberUniqueName="[Tabela2].[Data].[All]" allUniqueName="[Tabela2].[Data].[All]" dimensionUniqueName="[Tabela2]" displayFolder="" count="0" memberValueDatatype="7" unbalanced="0"/>
    <cacheHierarchy uniqueName="[Tabela2].[Hora]" caption="Hora" attribute="1" time="1" defaultMemberUniqueName="[Tabela2].[Hora].[All]" allUniqueName="[Tabela2].[Hora].[All]" dimensionUniqueName="[Tabela2]" displayFolder="" count="0" memberValueDatatype="7" unbalanced="0"/>
    <cacheHierarchy uniqueName="[Tabela2].[ID]" caption="ID" attribute="1" defaultMemberUniqueName="[Tabela2].[ID].[All]" allUniqueName="[Tabela2].[ID].[All]" dimensionUniqueName="[Tabela2]" displayFolder="" count="0" memberValueDatatype="130" unbalanced="0"/>
    <cacheHierarchy uniqueName="[Tabela2].[Dispositivo]" caption="Dispositivo" attribute="1" defaultMemberUniqueName="[Tabela2].[Dispositivo].[All]" allUniqueName="[Tabela2].[Dispositivo].[All]" dimensionUniqueName="[Tabela2]" displayFolder="" count="0" memberValueDatatype="130" unbalanced="0"/>
    <cacheHierarchy uniqueName="[Tabela2].[Segundos_Ouvidos]" caption="Segundos_Ouvidos" attribute="1" defaultMemberUniqueName="[Tabela2].[Segundos_Ouvidos].[All]" allUniqueName="[Tabela2].[Segundos_Ouvidos].[All]" dimensionUniqueName="[Tabela2]" displayFolder="" count="0" memberValueDatatype="20" unbalanced="0"/>
    <cacheHierarchy uniqueName="[Tabela2].[minutos_ouvidos]" caption="minutos_ouvidos" attribute="1" defaultMemberUniqueName="[Tabela2].[minutos_ouvidos].[All]" allUniqueName="[Tabela2].[minutos_ouvidos].[All]" dimensionUniqueName="[Tabela2]" displayFolder="" count="0" memberValueDatatype="5" unbalanced="0"/>
    <cacheHierarchy uniqueName="[Tabela2].[Reprodução_Completa]" caption="Reprodução_Completa" attribute="1" defaultMemberUniqueName="[Tabela2].[Reprodução_Completa].[All]" allUniqueName="[Tabela2].[Reprodução_Completa].[All]" dimensionUniqueName="[Tabela2]" displayFolder="" count="0" memberValueDatatype="130" unbalanced="0"/>
    <cacheHierarchy uniqueName="[Tabela2].[Periodo_dia]" caption="Periodo_dia" attribute="1" defaultMemberUniqueName="[Tabela2].[Periodo_dia].[All]" allUniqueName="[Tabela2].[Periodo_dia].[All]" dimensionUniqueName="[Tabela2]" displayFolder="" count="0" memberValueDatatype="130" unbalanced="0"/>
    <cacheHierarchy uniqueName="[Tabela6].[Track_Id]" caption="Track_Id" attribute="1" defaultMemberUniqueName="[Tabela6].[Track_Id].[All]" allUniqueName="[Tabela6].[Track_Id].[All]" dimensionUniqueName="[Tabela6]" displayFolder="" count="0" memberValueDatatype="130" unbalanced="0"/>
    <cacheHierarchy uniqueName="[Tabela6].[Artista]" caption="Artista" attribute="1" defaultMemberUniqueName="[Tabela6].[Artista].[All]" allUniqueName="[Tabela6].[Artista].[All]" dimensionUniqueName="[Tabela6]" displayFolder="" count="0" memberValueDatatype="130" unbalanced="0"/>
    <cacheHierarchy uniqueName="[Tabela6].[Música]" caption="Música" attribute="1" defaultMemberUniqueName="[Tabela6].[Música].[All]" allUniqueName="[Tabela6].[Música].[All]" dimensionUniqueName="[Tabela6]" displayFolder="" count="2" memberValueDatatype="130" unbalanced="0"/>
    <cacheHierarchy uniqueName="[Tabela6].[Gênero]" caption="Gênero" attribute="1" defaultMemberUniqueName="[Tabela6].[Gênero].[All]" allUniqueName="[Tabela6].[Gênero].[All]" dimensionUniqueName="[Tabela6]" displayFolder="" count="0" memberValueDatatype="130" unbalanced="0"/>
    <cacheHierarchy uniqueName="[Tabela6].[Album]" caption="Album" attribute="1" defaultMemberUniqueName="[Tabela6].[Album].[All]" allUniqueName="[Tabela6].[Album].[All]" dimensionUniqueName="[Tabela6]" displayFolder="" count="0" memberValueDatatype="130" unbalanced="0"/>
    <cacheHierarchy uniqueName="[Tabela6].[Duração por segundos]" caption="Duração por segundos" attribute="1" defaultMemberUniqueName="[Tabela6].[Duração por segundos].[All]" allUniqueName="[Tabela6].[Duração por segundos].[All]" dimensionUniqueName="[Tabela6]" displayFolder="" count="0" memberValueDatatype="20" unbalanced="0"/>
    <cacheHierarchy uniqueName="[Tabela6].[Reproduções quantd.]" caption="Reproduções quantd." attribute="1" defaultMemberUniqueName="[Tabela6].[Reproduções quantd.].[All]" allUniqueName="[Tabela6].[Reproduções quantd.].[All]" dimensionUniqueName="[Tabela6]" displayFolder="" count="0" memberValueDatatype="20" unbalanced="0"/>
    <cacheHierarchy uniqueName="[Tabela6].[Tempo_Total_Segundos]" caption="Tempo_Total_Segundos" attribute="1" defaultMemberUniqueName="[Tabela6].[Tempo_Total_Segundos].[All]" allUniqueName="[Tabela6].[Tempo_Total_Segundos].[All]" dimensionUniqueName="[Tabela6]" displayFolder="" count="0" memberValueDatatype="20" unbalanced="0"/>
    <cacheHierarchy uniqueName="[Tabela6].[Tempo_Totl_Minutos]" caption="Tempo_Totl_Minutos" attribute="1" defaultMemberUniqueName="[Tabela6].[Tempo_Totl_Minutos].[All]" allUniqueName="[Tabela6].[Tempo_Totl_Minutos].[All]" dimensionUniqueName="[Tabela6]" displayFolder="" count="0" memberValueDatatype="5" unbalanced="0"/>
    <cacheHierarchy uniqueName="[Tabela6].[Tempo_Total_Horas]" caption="Tempo_Total_Horas" attribute="1" defaultMemberUniqueName="[Tabela6].[Tempo_Total_Horas].[All]" allUniqueName="[Tabela6].[Tempo_Total_Horas].[All]" dimensionUniqueName="[Tabela6]" displayFolder="" count="0" memberValueDatatype="5" unbalanced="0"/>
    <cacheHierarchy uniqueName="[Measures].[Contagem de ID]" caption="Contagem de ID" measure="1" displayFolder="" measureGroup="Tabela2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Tempo_Total_Segundos]" caption="Soma de Tempo_Total_Segundos" measure="1" displayFolder="" measureGroup="Tabela6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Tempo_Totl_Minutos]" caption="Soma de Tempo_Totl_Minutos" measure="1" displayFolder="" measureGroup="Tabela6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a de Reproduções quantd]" caption="Soma de Reproduções quantd" measure="1" displayFolder="" measureGroup="Tabela6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ntagem de Hora]" caption="Contagem de Hora" measure="1" displayFolder="" measureGroup="Tabela2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Segundos_Ouvidos]" caption="Soma de Segundos_Ouvidos" measure="1" displayFolder="" measureGroup="Tabela2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__XL_Count Tabela6]" caption="__XL_Count Tabela6" measure="1" displayFolder="" measureGroup="Tabela6" count="0" hidden="1"/>
    <cacheHierarchy uniqueName="[Measures].[__XL_Count Tabela2]" caption="__XL_Count Tabela2" measure="1" displayFolder="" measureGroup="Tabela2" count="0" hidden="1"/>
    <cacheHierarchy uniqueName="[Measures].[__XL_Count of Models]" caption="__XL_Count of Models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0"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saveData="0" refreshedBy="Computador" refreshedDate="46323.073250231479" backgroundQuery="1" createdVersion="3" refreshedVersion="5" minRefreshableVersion="3" recordCount="0" supportSubquery="1" supportAdvancedDrill="1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7">
    <cacheHierarchy uniqueName="[Tabela2].[Data]" caption="Data" attribute="1" time="1" defaultMemberUniqueName="[Tabela2].[Data].[All]" allUniqueName="[Tabela2].[Data].[All]" dimensionUniqueName="[Tabela2]" displayFolder="" count="0" memberValueDatatype="7" unbalanced="0"/>
    <cacheHierarchy uniqueName="[Tabela2].[Hora]" caption="Hora" attribute="1" time="1" defaultMemberUniqueName="[Tabela2].[Hora].[All]" allUniqueName="[Tabela2].[Hora].[All]" dimensionUniqueName="[Tabela2]" displayFolder="" count="0" memberValueDatatype="7" unbalanced="0"/>
    <cacheHierarchy uniqueName="[Tabela2].[ID]" caption="ID" attribute="1" defaultMemberUniqueName="[Tabela2].[ID].[All]" allUniqueName="[Tabela2].[ID].[All]" dimensionUniqueName="[Tabela2]" displayFolder="" count="0" memberValueDatatype="130" unbalanced="0"/>
    <cacheHierarchy uniqueName="[Tabela2].[Dispositivo]" caption="Dispositivo" attribute="1" defaultMemberUniqueName="[Tabela2].[Dispositivo].[All]" allUniqueName="[Tabela2].[Dispositivo].[All]" dimensionUniqueName="[Tabela2]" displayFolder="" count="0" memberValueDatatype="130" unbalanced="0"/>
    <cacheHierarchy uniqueName="[Tabela2].[Segundos_Ouvidos]" caption="Segundos_Ouvidos" attribute="1" defaultMemberUniqueName="[Tabela2].[Segundos_Ouvidos].[All]" allUniqueName="[Tabela2].[Segundos_Ouvidos].[All]" dimensionUniqueName="[Tabela2]" displayFolder="" count="0" memberValueDatatype="20" unbalanced="0"/>
    <cacheHierarchy uniqueName="[Tabela2].[minutos_ouvidos]" caption="minutos_ouvidos" attribute="1" defaultMemberUniqueName="[Tabela2].[minutos_ouvidos].[All]" allUniqueName="[Tabela2].[minutos_ouvidos].[All]" dimensionUniqueName="[Tabela2]" displayFolder="" count="0" memberValueDatatype="5" unbalanced="0"/>
    <cacheHierarchy uniqueName="[Tabela2].[Reprodução_Completa]" caption="Reprodução_Completa" attribute="1" defaultMemberUniqueName="[Tabela2].[Reprodução_Completa].[All]" allUniqueName="[Tabela2].[Reprodução_Completa].[All]" dimensionUniqueName="[Tabela2]" displayFolder="" count="0" memberValueDatatype="130" unbalanced="0"/>
    <cacheHierarchy uniqueName="[Tabela2].[Periodo_dia]" caption="Periodo_dia" attribute="1" defaultMemberUniqueName="[Tabela2].[Periodo_dia].[All]" allUniqueName="[Tabela2].[Periodo_dia].[All]" dimensionUniqueName="[Tabela2]" displayFolder="" count="0" memberValueDatatype="130" unbalanced="0"/>
    <cacheHierarchy uniqueName="[Tabela6].[Track_Id]" caption="Track_Id" attribute="1" defaultMemberUniqueName="[Tabela6].[Track_Id].[All]" allUniqueName="[Tabela6].[Track_Id].[All]" dimensionUniqueName="[Tabela6]" displayFolder="" count="0" memberValueDatatype="130" unbalanced="0"/>
    <cacheHierarchy uniqueName="[Tabela6].[Artista]" caption="Artista" attribute="1" defaultMemberUniqueName="[Tabela6].[Artista].[All]" allUniqueName="[Tabela6].[Artista].[All]" dimensionUniqueName="[Tabela6]" displayFolder="" count="2" memberValueDatatype="130" unbalanced="0"/>
    <cacheHierarchy uniqueName="[Tabela6].[Música]" caption="Música" attribute="1" defaultMemberUniqueName="[Tabela6].[Música].[All]" allUniqueName="[Tabela6].[Música].[All]" dimensionUniqueName="[Tabela6]" displayFolder="" count="0" memberValueDatatype="130" unbalanced="0"/>
    <cacheHierarchy uniqueName="[Tabela6].[Gênero]" caption="Gênero" attribute="1" defaultMemberUniqueName="[Tabela6].[Gênero].[All]" allUniqueName="[Tabela6].[Gênero].[All]" dimensionUniqueName="[Tabela6]" displayFolder="" count="0" memberValueDatatype="130" unbalanced="0"/>
    <cacheHierarchy uniqueName="[Tabela6].[Album]" caption="Album" attribute="1" defaultMemberUniqueName="[Tabela6].[Album].[All]" allUniqueName="[Tabela6].[Album].[All]" dimensionUniqueName="[Tabela6]" displayFolder="" count="0" memberValueDatatype="130" unbalanced="0"/>
    <cacheHierarchy uniqueName="[Tabela6].[Duração por segundos]" caption="Duração por segundos" attribute="1" defaultMemberUniqueName="[Tabela6].[Duração por segundos].[All]" allUniqueName="[Tabela6].[Duração por segundos].[All]" dimensionUniqueName="[Tabela6]" displayFolder="" count="0" memberValueDatatype="20" unbalanced="0"/>
    <cacheHierarchy uniqueName="[Tabela6].[Reproduções quantd.]" caption="Reproduções quantd." attribute="1" defaultMemberUniqueName="[Tabela6].[Reproduções quantd.].[All]" allUniqueName="[Tabela6].[Reproduções quantd.].[All]" dimensionUniqueName="[Tabela6]" displayFolder="" count="0" memberValueDatatype="20" unbalanced="0"/>
    <cacheHierarchy uniqueName="[Tabela6].[Tempo_Total_Segundos]" caption="Tempo_Total_Segundos" attribute="1" defaultMemberUniqueName="[Tabela6].[Tempo_Total_Segundos].[All]" allUniqueName="[Tabela6].[Tempo_Total_Segundos].[All]" dimensionUniqueName="[Tabela6]" displayFolder="" count="0" memberValueDatatype="20" unbalanced="0"/>
    <cacheHierarchy uniqueName="[Tabela6].[Tempo_Totl_Minutos]" caption="Tempo_Totl_Minutos" attribute="1" defaultMemberUniqueName="[Tabela6].[Tempo_Totl_Minutos].[All]" allUniqueName="[Tabela6].[Tempo_Totl_Minutos].[All]" dimensionUniqueName="[Tabela6]" displayFolder="" count="0" memberValueDatatype="5" unbalanced="0"/>
    <cacheHierarchy uniqueName="[Tabela6].[Tempo_Total_Horas]" caption="Tempo_Total_Horas" attribute="1" defaultMemberUniqueName="[Tabela6].[Tempo_Total_Horas].[All]" allUniqueName="[Tabela6].[Tempo_Total_Horas].[All]" dimensionUniqueName="[Tabela6]" displayFolder="" count="0" memberValueDatatype="5" unbalanced="0"/>
    <cacheHierarchy uniqueName="[Measures].[Contagem de ID]" caption="Contagem de ID" measure="1" displayFolder="" measureGroup="Tabela2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Tempo_Total_Segundos]" caption="Soma de Tempo_Total_Segundos" measure="1" displayFolder="" measureGroup="Tabela6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Tempo_Totl_Minutos]" caption="Soma de Tempo_Totl_Minutos" measure="1" displayFolder="" measureGroup="Tabela6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a de Reproduções quantd]" caption="Soma de Reproduções quantd" measure="1" displayFolder="" measureGroup="Tabela6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ntagem de Hora]" caption="Contagem de Hora" measure="1" displayFolder="" measureGroup="Tabela2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Segundos_Ouvidos]" caption="Soma de Segundos_Ouvidos" measure="1" displayFolder="" measureGroup="Tabela2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__XL_Count Tabela6]" caption="__XL_Count Tabela6" measure="1" displayFolder="" measureGroup="Tabela6" count="0" hidden="1"/>
    <cacheHierarchy uniqueName="[Measures].[__XL_Count Tabela2]" caption="__XL_Count Tabela2" measure="1" displayFolder="" measureGroup="Tabela2" count="0" hidden="1"/>
    <cacheHierarchy uniqueName="[Measures].[__XL_Count of Models]" caption="__XL_Count of Models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1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name="Tabela dinâmica6" cacheId="289" applyNumberFormats="0" applyBorderFormats="0" applyFontFormats="0" applyPatternFormats="0" applyAlignmentFormats="0" applyWidthHeightFormats="1" dataCaption="Valores" updatedVersion="5" minRefreshableVersion="3" useAutoFormatting="1" subtotalHiddenItems="1" itemPrintTitles="1" createdVersion="5" indent="0" outline="1" outlineData="1" multipleFieldFilters="0">
  <location ref="A3:C20" firstHeaderRow="1" firstDataRow="1" firstDataCol="0"/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shboard2_spotify2026.xlsx!Tabela6">
        <x15:activeTabTopLevelEntity name="[Tabela6]"/>
      </x15:pivotTableUISettings>
    </ext>
  </extLst>
</pivotTableDefinition>
</file>

<file path=xl/pivotTables/pivotTable2.xml><?xml version="1.0" encoding="utf-8"?>
<pivotTableDefinition xmlns="http://schemas.openxmlformats.org/spreadsheetml/2006/main" name="Tabela dinâmica9" cacheId="290" applyNumberFormats="0" applyBorderFormats="0" applyFontFormats="0" applyPatternFormats="0" applyAlignmentFormats="0" applyWidthHeightFormats="1" dataCaption="Valores" updatedVersion="5" minRefreshableVersion="3" useAutoFormatting="1" subtotalHiddenItems="1" itemPrintTitles="1" createdVersion="5" indent="0" outline="1" outlineData="1" multipleFieldFilters="0" chartFormat="8">
  <location ref="G3:H16" firstHeaderRow="1" firstDataRow="1" firstDataCol="1"/>
  <pivotFields count="2">
    <pivotField axis="axisRow" allDrilled="1" showAll="0" sortType="ascending" defaultAttributeDrillState="1">
      <items count="13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13">
    <i>
      <x v="1"/>
    </i>
    <i>
      <x v="7"/>
    </i>
    <i>
      <x v="8"/>
    </i>
    <i>
      <x v="4"/>
    </i>
    <i>
      <x v="9"/>
    </i>
    <i>
      <x v="11"/>
    </i>
    <i>
      <x v="2"/>
    </i>
    <i>
      <x/>
    </i>
    <i>
      <x v="5"/>
    </i>
    <i>
      <x v="3"/>
    </i>
    <i>
      <x v="6"/>
    </i>
    <i>
      <x v="10"/>
    </i>
    <i t="grand">
      <x/>
    </i>
  </rowItems>
  <colItems count="1">
    <i/>
  </colItems>
  <dataFields count="1">
    <dataField name="Contagem de ID" fld="1" subtotal="count" baseField="0" baseItem="0"/>
  </dataFields>
  <formats count="2">
    <format dxfId="8">
      <pivotArea outline="0" collapsedLevelsAreSubtotals="1" fieldPosition="0"/>
    </format>
    <format dxfId="7">
      <pivotArea dataOnly="0" labelOnly="1" outline="0" axis="axisValues" fieldPosition="0"/>
    </format>
  </format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ela2]"/>
        <x15:activeTabTopLevelEntity name="[Tabela6]"/>
      </x15:pivotTableUISettings>
    </ext>
  </extLst>
</pivotTableDefinition>
</file>

<file path=xl/pivotTables/pivotTable3.xml><?xml version="1.0" encoding="utf-8"?>
<pivotTableDefinition xmlns="http://schemas.openxmlformats.org/spreadsheetml/2006/main" name="Tabela dinâmica13" cacheId="291" applyNumberFormats="0" applyBorderFormats="0" applyFontFormats="0" applyPatternFormats="0" applyAlignmentFormats="0" applyWidthHeightFormats="1" dataCaption="Valores" updatedVersion="5" minRefreshableVersion="3" useAutoFormatting="1" subtotalHiddenItems="1" itemPrintTitles="1" createdVersion="5" indent="0" outline="1" outlineData="1" multipleFieldFilters="0" chartFormat="6">
  <location ref="M21:N25" firstHeaderRow="1" firstDataRow="1" firstDataCol="1"/>
  <pivotFields count="2">
    <pivotField axis="axisRow" allDrilled="1" showAll="0" measureFilter="1" sortType="descending" defaultAttributeDrillState="1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Contagem de ID" fld="1" subtotal="count" baseField="0" baseItem="0"/>
  </dataFields>
  <formats count="2">
    <format dxfId="5">
      <pivotArea outline="0" collapsedLevelsAreSubtotals="1" fieldPosition="0"/>
    </format>
    <format dxfId="6">
      <pivotArea dataOnly="0" labelOnly="1" outline="0" axis="axisValues" fieldPosition="0"/>
    </format>
  </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18">
      <autoFilter ref="A1">
        <filterColumn colId="0">
          <top10 val="3" filterVal="3"/>
        </filterColumn>
      </autoFilter>
    </filter>
  </filters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ela2]"/>
        <x15:activeTabTopLevelEntity name="[Tabela6]"/>
      </x15:pivotTableUISettings>
    </ext>
  </extLst>
</pivotTableDefinition>
</file>

<file path=xl/pivotTables/pivotTable4.xml><?xml version="1.0" encoding="utf-8"?>
<pivotTableDefinition xmlns="http://schemas.openxmlformats.org/spreadsheetml/2006/main" name="Tabela dinâmica8" cacheId="437" applyNumberFormats="0" applyBorderFormats="0" applyFontFormats="0" applyPatternFormats="0" applyAlignmentFormats="0" applyWidthHeightFormats="1" dataCaption="Valores" updatedVersion="5" minRefreshableVersion="3" useAutoFormatting="1" subtotalHiddenItems="1" itemPrintTitles="1" createdVersion="5" indent="0" outline="1" outlineData="1" multipleFieldFilters="0">
  <location ref="D3:E5" firstHeaderRow="1" firstDataRow="1" firstDataCol="1"/>
  <pivotFields count="2">
    <pivotField axis="axisRow" allDrilled="1" showAll="0" sortType="descending" defaultAttributeDrillState="1">
      <items count="2">
        <item s="1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Soma de Tempo_Totl_Minutos" fld="1" baseField="0" baseItem="0" numFmtId="2"/>
  </dataFields>
  <formats count="2">
    <format dxfId="10">
      <pivotArea outline="0" collapsedLevelsAreSubtotals="1" fieldPosition="0"/>
    </format>
    <format dxfId="9">
      <pivotArea dataOnly="0" labelOnly="1" outline="0" axis="axisValues" fieldPosition="0"/>
    </format>
  </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ela2]"/>
        <x15:activeTabTopLevelEntity name="[Tabela6]"/>
      </x15:pivotTableUISettings>
    </ext>
  </extLst>
</pivotTableDefinition>
</file>

<file path=xl/pivotTables/pivotTable5.xml><?xml version="1.0" encoding="utf-8"?>
<pivotTableDefinition xmlns="http://schemas.openxmlformats.org/spreadsheetml/2006/main" name="Tabela dinâmica12" cacheId="293" applyNumberFormats="0" applyBorderFormats="0" applyFontFormats="0" applyPatternFormats="0" applyAlignmentFormats="0" applyWidthHeightFormats="1" dataCaption="Valores" updatedVersion="5" minRefreshableVersion="3" useAutoFormatting="1" subtotalHiddenItems="1" itemPrintTitles="1" createdVersion="5" indent="0" outline="1" outlineData="1" multipleFieldFilters="0" chartFormat="5">
  <location ref="M11:N16" firstHeaderRow="1" firstDataRow="1" firstDataCol="1"/>
  <pivotFields count="2">
    <pivotField axis="axisRow" allDrilled="1" showAll="0" sortType="descending" defaultAttributeDrillState="1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5">
    <i>
      <x v="1"/>
    </i>
    <i>
      <x v="2"/>
    </i>
    <i>
      <x v="3"/>
    </i>
    <i>
      <x/>
    </i>
    <i t="grand">
      <x/>
    </i>
  </rowItems>
  <colItems count="1">
    <i/>
  </colItems>
  <dataFields count="1">
    <dataField name="Contagem de Hora" fld="1" subtotal="count" baseField="0" baseItem="0"/>
  </dataFields>
  <formats count="2">
    <format dxfId="12">
      <pivotArea outline="0" collapsedLevelsAreSubtotals="1" fieldPosition="0"/>
    </format>
    <format dxfId="11">
      <pivotArea dataOnly="0" labelOnly="1" outline="0" axis="axisValues" fieldPosition="0"/>
    </format>
  </formats>
  <chartFormats count="5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ela2]"/>
        <x15:activeTabTopLevelEntity name="[Tabela6]"/>
      </x15:pivotTableUISettings>
    </ext>
  </extLst>
</pivotTableDefinition>
</file>

<file path=xl/pivotTables/pivotTable6.xml><?xml version="1.0" encoding="utf-8"?>
<pivotTableDefinition xmlns="http://schemas.openxmlformats.org/spreadsheetml/2006/main" name="Tabela dinâmica7" cacheId="294" applyNumberFormats="0" applyBorderFormats="0" applyFontFormats="0" applyPatternFormats="0" applyAlignmentFormats="0" applyWidthHeightFormats="1" dataCaption="Valores" updatedVersion="5" minRefreshableVersion="3" useAutoFormatting="1" subtotalHiddenItems="1" itemPrintTitles="1" createdVersion="5" indent="0" outline="1" outlineData="1" multipleFieldFilters="0" chartFormat="22">
  <location ref="A3:B22" firstHeaderRow="1" firstDataRow="1" firstDataCol="1"/>
  <pivotFields count="2">
    <pivotField dataField="1" showAll="0"/>
    <pivotField axis="axisRow" allDrilled="1" showAll="0" sortType="ascending" defaultAttributeDrillState="1">
      <items count="19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19">
    <i>
      <x v="6"/>
    </i>
    <i>
      <x v="9"/>
    </i>
    <i>
      <x v="15"/>
    </i>
    <i>
      <x v="4"/>
    </i>
    <i>
      <x v="17"/>
    </i>
    <i>
      <x v="7"/>
    </i>
    <i>
      <x v="5"/>
    </i>
    <i>
      <x v="3"/>
    </i>
    <i>
      <x v="13"/>
    </i>
    <i>
      <x v="10"/>
    </i>
    <i>
      <x v="2"/>
    </i>
    <i>
      <x v="12"/>
    </i>
    <i>
      <x v="16"/>
    </i>
    <i>
      <x/>
    </i>
    <i>
      <x v="11"/>
    </i>
    <i>
      <x v="14"/>
    </i>
    <i>
      <x v="8"/>
    </i>
    <i>
      <x v="1"/>
    </i>
    <i t="grand">
      <x/>
    </i>
  </rowItems>
  <colItems count="1">
    <i/>
  </colItems>
  <dataFields count="1">
    <dataField name="Contagem de ID" fld="0" subtotal="count" baseField="0" baseItem="0"/>
  </dataFields>
  <chartFormats count="1"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ela2]"/>
        <x15:activeTabTopLevelEntity name="[Tabela6]"/>
      </x15:pivotTableUISettings>
    </ext>
  </extLst>
</pivotTableDefinition>
</file>

<file path=xl/pivotTables/pivotTable7.xml><?xml version="1.0" encoding="utf-8"?>
<pivotTableDefinition xmlns="http://schemas.openxmlformats.org/spreadsheetml/2006/main" name="Tabela dinâmica11" cacheId="295" applyNumberFormats="0" applyBorderFormats="0" applyFontFormats="0" applyPatternFormats="0" applyAlignmentFormats="0" applyWidthHeightFormats="1" dataCaption="Valores" updatedVersion="5" minRefreshableVersion="3" useAutoFormatting="1" subtotalHiddenItems="1" itemPrintTitles="1" createdVersion="5" indent="0" outline="1" outlineData="1" multipleFieldFilters="0" chartFormat="8">
  <location ref="M3:N7" firstHeaderRow="1" firstDataRow="1" firstDataCol="1"/>
  <pivotFields count="2">
    <pivotField axis="axisRow" allDrilled="1" showAll="0" dataSourceSort="1" defaultAttributeDrillState="1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ID" fld="1" subtotal="count" baseField="0" baseItem="0"/>
  </dataFields>
  <formats count="2">
    <format dxfId="14">
      <pivotArea outline="0" collapsedLevelsAreSubtotals="1" fieldPosition="0"/>
    </format>
    <format dxfId="13">
      <pivotArea dataOnly="0" labelOnly="1" outline="0" axis="axisValues" fieldPosition="0"/>
    </format>
  </formats>
  <chartFormats count="4"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ela2]"/>
        <x15:activeTabTopLevelEntity name="[Tabela6]"/>
      </x15:pivotTableUISettings>
    </ext>
  </extLst>
</pivotTableDefinition>
</file>

<file path=xl/pivotTables/pivotTable8.xml><?xml version="1.0" encoding="utf-8"?>
<pivotTableDefinition xmlns="http://schemas.openxmlformats.org/spreadsheetml/2006/main" name="Tabela dinâmica10" cacheId="428" applyNumberFormats="0" applyBorderFormats="0" applyFontFormats="0" applyPatternFormats="0" applyAlignmentFormats="0" applyWidthHeightFormats="1" dataCaption="Valores" updatedVersion="5" minRefreshableVersion="3" useAutoFormatting="1" subtotalHiddenItems="1" itemPrintTitles="1" createdVersion="5" indent="0" outline="1" outlineData="1" multipleFieldFilters="0">
  <location ref="J3:L5" firstHeaderRow="0" firstDataRow="1" firstDataCol="1"/>
  <pivotFields count="3">
    <pivotField dataField="1" showAll="0"/>
    <pivotField axis="axisRow" allDrilled="1" showAll="0" sortType="descending" defaultAttributeDrillState="1">
      <items count="2">
        <item s="1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1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Contagem de ID" fld="0" subtotal="count" baseField="0" baseItem="0"/>
    <dataField name="Soma de minutos_ouvidos" fld="2" baseField="0" baseItem="0" numFmtId="2"/>
  </dataFields>
  <formats count="3">
    <format dxfId="0">
      <pivotArea outline="0" collapsedLevelsAreSubtotals="1" fieldPosition="0"/>
    </format>
    <format dxfId="1">
      <pivotArea dataOnly="0" labelOnly="1" outline="0" axis="axisValues" fieldPosition="0"/>
    </format>
    <format dxfId="2">
      <pivotArea outline="0" fieldPosition="0">
        <references count="1">
          <reference field="4294967294" count="1">
            <x v="1"/>
          </reference>
        </references>
      </pivotArea>
    </format>
  </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ela2]"/>
        <x15:activeTabTopLevelEntity name="[Tabela6]"/>
      </x15:pivotTableUISettings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Artista" sourceName="[Tabela6].[Artista]">
  <pivotTables>
    <pivotTable tabId="5" name="Tabela dinâmica8"/>
  </pivotTables>
  <data>
    <olap pivotCacheId="11">
      <levels count="2">
        <level uniqueName="[Tabela6].[Artista].[(All)]" sourceCaption="(All)" count="0"/>
        <level uniqueName="[Tabela6].[Artista].[Artista]" sourceCaption="Artista" count="19">
          <ranges>
            <range startItem="0">
              <i n="[Tabela6].[Artista].&amp;[03Greedo]" c="03Greedo"/>
              <i n="[Tabela6].[Artista].&amp;[Felipe Amorim]" c="Felipe Amorim"/>
              <i n="[Tabela6].[Artista].&amp;[Jorge&amp;Mateus]" c="Jorge&amp;Mateus"/>
              <i n="[Tabela6].[Artista].&amp;[José Jr]" c="José Jr"/>
              <i n="[Tabela6].[Artista].&amp;[Kaash Paige]" c="Kaash Paige"/>
              <i n="[Tabela6].[Artista].&amp;[Kaleb e Josh]" c="Kaleb e Josh"/>
              <i n="[Tabela6].[Artista].&amp;[Kemuel]" c="Kemuel"/>
              <i n="[Tabela6].[Artista].&amp;[Léo Foguete]" c="Léo Foguete"/>
              <i n="[Tabela6].[Artista].&amp;[Mateus&amp;Kauãn]" c="Mateus&amp;Kauãn"/>
              <i n="[Tabela6].[Artista].&amp;[Mc Kevin]" c="Mc Kevin"/>
              <i n="[Tabela6].[Artista].&amp;[Menos é Mais]" c="Menos é Mais"/>
              <i n="[Tabela6].[Artista].&amp;[Mwizz]" c="Mwizz"/>
              <i n="[Tabela6].[Artista].&amp;[Orochi]" c="Orochi"/>
              <i n="[Tabela6].[Artista].&amp;[Pedrosa]" c="Pedrosa"/>
              <i n="[Tabela6].[Artista].&amp;[Rarin]" c="Rarin"/>
              <i n="[Tabela6].[Artista].&amp;[Riovaz]" c="Riovaz"/>
              <i n="[Tabela6].[Artista].&amp;[San Joe]" c="San Joe"/>
              <i n="[Tabela6].[Artista].&amp;[Sotan]" c="Sotan"/>
              <i n="[Tabela6].[Artista].&amp;" c="(vazio)" nd="1"/>
            </range>
          </ranges>
        </level>
      </levels>
      <selections count="1">
        <selection n="[Tabela6].[Artista].&amp;[Felipe Amorim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Tabela6].[Artista].[Artista]" count="1"/>
      </x15:slicerCacheHideItemsWithNoData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Música" sourceName="[Tabela6].[Música]">
  <pivotTables>
    <pivotTable tabId="5" name="Tabela dinâmica10"/>
  </pivotTables>
  <data>
    <olap pivotCacheId="10">
      <levels count="2">
        <level uniqueName="[Tabela6].[Música].[(All)]" sourceCaption="(All)" count="0"/>
        <level uniqueName="[Tabela6].[Música].[Música]" sourceCaption="Música" count="39">
          <ranges>
            <range startItem="0">
              <i n="[Tabela6].[Música].&amp;[A nossa praia]" c="A nossa praia"/>
              <i n="[Tabela6].[Música].&amp;[A rosa e o beija flor]" c="A rosa e o beija flor"/>
              <i n="[Tabela6].[Música].&amp;[Aba]" c="Aba"/>
              <i n="[Tabela6].[Música].&amp;[Ainda Gosto dela]" c="Ainda Gosto dela"/>
              <i n="[Tabela6].[Música].&amp;[Amar Como você]" c="Amar Como você"/>
              <i n="[Tabela6].[Música].&amp;[Amor de Fim de noite]" c="Amor de Fim de noite"/>
              <i n="[Tabela6].[Música].&amp;[Até que o Senhor Venha]" c="Até que o Senhor Venha"/>
              <i n="[Tabela6].[Música].&amp;[Aviva-nos]" c="Aviva-nos"/>
              <i n="[Tabela6].[Música].&amp;[Calica]" c="Calica"/>
              <i n="[Tabela6].[Música].&amp;[Call Me girl]" c="Call Me girl"/>
              <i n="[Tabela6].[Música].&amp;[Cama Embrasa]" c="Cama Embrasa"/>
              <i n="[Tabela6].[Música].&amp;[Coisas Que sei]" c="Coisas Que sei"/>
              <i n="[Tabela6].[Música].&amp;[Cópia Proíbida]" c="Cópia Proíbida"/>
              <i n="[Tabela6].[Música].&amp;[Desculpa Doutor]" c="Desculpa Doutor"/>
              <i n="[Tabela6].[Música].&amp;[Do teto ao chão]" c="Do teto ao chão"/>
              <i n="[Tabela6].[Música].&amp;[Don`t copy my flow]" c="Don`t copy my flow"/>
              <i n="[Tabela6].[Música].&amp;[Doutora 3]" c="Doutora 3"/>
              <i n="[Tabela6].[Música].&amp;[E os anjos cantam]" c="E os anjos cantam"/>
              <i n="[Tabela6].[Música].&amp;[Eu só quero tu]" c="Eu só quero tu"/>
              <i n="[Tabela6].[Música].&amp;[Eu vou na sua casa]" c="Eu vou na sua casa"/>
              <i n="[Tabela6].[Música].&amp;[Exclusividade]" c="Exclusividade"/>
              <i n="[Tabela6].[Música].&amp;[Good Girls]" c="Good Girls"/>
              <i n="[Tabela6].[Música].&amp;[Kompa]" c="Kompa"/>
              <i n="[Tabela6].[Música].&amp;[Lapada dela]" c="Lapada dela"/>
              <i n="[Tabela6].[Música].&amp;[Love Song]" c="Love Song"/>
              <i n="[Tabela6].[Música].&amp;[Na praia 2]" c="Na praia 2"/>
              <i n="[Tabela6].[Música].&amp;[Nocaute]" c="Nocaute"/>
              <i n="[Tabela6].[Música].&amp;[O nosso santo bateu]" c="O nosso santo bateu"/>
              <i n="[Tabela6].[Música].&amp;[Prenda-me a Ti]" c="Prenda-me a Ti"/>
              <i n="[Tabela6].[Música].&amp;[Prom Night]" c="Prom Night"/>
              <i n="[Tabela6].[Música].&amp;[Que esse fogo não se apague]" c="Que esse fogo não se apague"/>
              <i n="[Tabela6].[Música].&amp;[Que sorte a nossa]" c="Que sorte a nossa"/>
              <i n="[Tabela6].[Música].&amp;[Sem lovizin]" c="Sem lovizin"/>
              <i n="[Tabela6].[Música].&amp;[Sinceramente]" c="Sinceramente"/>
              <i n="[Tabela6].[Música].&amp;[Substance]" c="Substance"/>
              <i n="[Tabela6].[Música].&amp;[Terça de Tarde]" c="Terça de Tarde"/>
              <i n="[Tabela6].[Música].&amp;[Teus Sinais]" c="Teus Sinais"/>
              <i n="[Tabela6].[Música].&amp;[Toca o Trompete]" c="Toca o Trompete"/>
              <i n="[Tabela6].[Música].&amp;" c="(vazio)"/>
            </range>
          </ranges>
        </level>
      </levels>
      <selections count="1">
        <selection n="[Tabela6].[Música].&amp;[Sem lovizin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Tabela6].[Música].[Música]" count="0"/>
      </x15:slicerCacheHideItemsWithNoData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Artista 1" cache="SegmentaçãodeDados_Artista" showCaption="0" level="1" style="Estilo de Segmentação de Dados 5 2" rowHeight="864000"/>
  <slicer name="Música 1" cache="SegmentaçãodeDados_Música" startItem="29" showCaption="0" level="1" style="Estilo de Segmentação de Dados 5 2" rowHeight="864000"/>
</slicers>
</file>

<file path=xl/tables/table1.xml><?xml version="1.0" encoding="utf-8"?>
<table xmlns="http://schemas.openxmlformats.org/spreadsheetml/2006/main" id="1" name="Tabela6" displayName="Tabela6" ref="A1:J39" totalsRowShown="0">
  <autoFilter ref="A1:J39"/>
  <tableColumns count="10">
    <tableColumn id="1" name="Track_Id"/>
    <tableColumn id="2" name="Artista"/>
    <tableColumn id="3" name="Música"/>
    <tableColumn id="4" name="Gênero"/>
    <tableColumn id="5" name="Album"/>
    <tableColumn id="6" name="Duração por segundos "/>
    <tableColumn id="7" name="Reproduções quantd."/>
    <tableColumn id="8" name="Tempo_Total_Segundos" dataDxfId="20">
      <calculatedColumnFormula>F2*G2</calculatedColumnFormula>
    </tableColumn>
    <tableColumn id="9" name="Tempo_Totl_Minutos" dataDxfId="19">
      <calculatedColumnFormula>H2/60</calculatedColumnFormula>
    </tableColumn>
    <tableColumn id="10" name="Tempo_Total_Horas" dataDxfId="18">
      <calculatedColumnFormula>H2/3600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a2" displayName="Tabela2" ref="A1:H163" totalsRowShown="0">
  <autoFilter ref="A1:H163"/>
  <tableColumns count="8">
    <tableColumn id="1" name="Data" dataDxfId="17"/>
    <tableColumn id="2" name="Hora" dataDxfId="16"/>
    <tableColumn id="3" name="ID"/>
    <tableColumn id="4" name="Dispositivo"/>
    <tableColumn id="5" name="Segundos_Ouvidos"/>
    <tableColumn id="9" name="minutos_ouvidos " dataDxfId="3">
      <calculatedColumnFormula>E2/60</calculatedColumnFormula>
    </tableColumn>
    <tableColumn id="6" name="Reprodução_Completa"/>
    <tableColumn id="7" name="Periodo_dia" dataDxfId="15">
      <calculatedColumnFormula>IF(HOUR(B2)&lt;6,"Madrugada",IF(HOUR(B2)&lt;12,"Manhã",IF(HOUR(B2)&lt;18,"Tarde","Noite")))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0"/>
  <sheetViews>
    <sheetView workbookViewId="0">
      <selection activeCell="A3" sqref="A3"/>
    </sheetView>
  </sheetViews>
  <sheetFormatPr defaultRowHeight="15" x14ac:dyDescent="0.25"/>
  <sheetData>
    <row r="3" spans="1:3" x14ac:dyDescent="0.25">
      <c r="A3" s="3"/>
      <c r="B3" s="4"/>
      <c r="C3" s="5"/>
    </row>
    <row r="4" spans="1:3" x14ac:dyDescent="0.25">
      <c r="A4" s="6"/>
      <c r="B4" s="7"/>
      <c r="C4" s="8"/>
    </row>
    <row r="5" spans="1:3" x14ac:dyDescent="0.25">
      <c r="A5" s="6"/>
      <c r="B5" s="7"/>
      <c r="C5" s="8"/>
    </row>
    <row r="6" spans="1:3" x14ac:dyDescent="0.25">
      <c r="A6" s="6"/>
      <c r="B6" s="7"/>
      <c r="C6" s="8"/>
    </row>
    <row r="7" spans="1:3" x14ac:dyDescent="0.25">
      <c r="A7" s="6"/>
      <c r="B7" s="7"/>
      <c r="C7" s="8"/>
    </row>
    <row r="8" spans="1:3" x14ac:dyDescent="0.25">
      <c r="A8" s="6"/>
      <c r="B8" s="7"/>
      <c r="C8" s="8"/>
    </row>
    <row r="9" spans="1:3" x14ac:dyDescent="0.25">
      <c r="A9" s="6"/>
      <c r="B9" s="7"/>
      <c r="C9" s="8"/>
    </row>
    <row r="10" spans="1:3" x14ac:dyDescent="0.25">
      <c r="A10" s="6"/>
      <c r="B10" s="7"/>
      <c r="C10" s="8"/>
    </row>
    <row r="11" spans="1:3" x14ac:dyDescent="0.25">
      <c r="A11" s="6"/>
      <c r="B11" s="7"/>
      <c r="C11" s="8"/>
    </row>
    <row r="12" spans="1:3" x14ac:dyDescent="0.25">
      <c r="A12" s="6"/>
      <c r="B12" s="7"/>
      <c r="C12" s="8"/>
    </row>
    <row r="13" spans="1:3" x14ac:dyDescent="0.25">
      <c r="A13" s="6"/>
      <c r="B13" s="7"/>
      <c r="C13" s="8"/>
    </row>
    <row r="14" spans="1:3" x14ac:dyDescent="0.25">
      <c r="A14" s="6"/>
      <c r="B14" s="7"/>
      <c r="C14" s="8"/>
    </row>
    <row r="15" spans="1:3" x14ac:dyDescent="0.25">
      <c r="A15" s="6"/>
      <c r="B15" s="7"/>
      <c r="C15" s="8"/>
    </row>
    <row r="16" spans="1:3" x14ac:dyDescent="0.25">
      <c r="A16" s="6"/>
      <c r="B16" s="7"/>
      <c r="C16" s="8"/>
    </row>
    <row r="17" spans="1:3" x14ac:dyDescent="0.25">
      <c r="A17" s="6"/>
      <c r="B17" s="7"/>
      <c r="C17" s="8"/>
    </row>
    <row r="18" spans="1:3" x14ac:dyDescent="0.25">
      <c r="A18" s="6"/>
      <c r="B18" s="7"/>
      <c r="C18" s="8"/>
    </row>
    <row r="19" spans="1:3" x14ac:dyDescent="0.25">
      <c r="A19" s="6"/>
      <c r="B19" s="7"/>
      <c r="C19" s="8"/>
    </row>
    <row r="20" spans="1:3" x14ac:dyDescent="0.25">
      <c r="A20" s="9"/>
      <c r="B20" s="10"/>
      <c r="C20" s="1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topLeftCell="B1" workbookViewId="0">
      <selection activeCell="J2" sqref="J2"/>
    </sheetView>
  </sheetViews>
  <sheetFormatPr defaultRowHeight="15" x14ac:dyDescent="0.25"/>
  <cols>
    <col min="2" max="2" width="23.28515625" customWidth="1"/>
    <col min="3" max="3" width="19.5703125" customWidth="1"/>
    <col min="4" max="4" width="23.85546875" customWidth="1"/>
    <col min="5" max="5" width="27.7109375" customWidth="1"/>
    <col min="7" max="7" width="22" customWidth="1"/>
    <col min="8" max="8" width="21.5703125" customWidth="1"/>
    <col min="9" max="9" width="22.42578125" style="15" customWidth="1"/>
    <col min="10" max="10" width="18.7109375" style="1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154</v>
      </c>
      <c r="I1" s="15" t="s">
        <v>155</v>
      </c>
      <c r="J1" s="15" t="s">
        <v>167</v>
      </c>
    </row>
    <row r="2" spans="1:10" x14ac:dyDescent="0.25">
      <c r="A2" t="s">
        <v>7</v>
      </c>
      <c r="B2" t="s">
        <v>8</v>
      </c>
      <c r="C2" t="s">
        <v>9</v>
      </c>
      <c r="D2" t="s">
        <v>10</v>
      </c>
      <c r="E2" t="s">
        <v>9</v>
      </c>
      <c r="F2">
        <v>103</v>
      </c>
      <c r="G2">
        <v>10</v>
      </c>
      <c r="H2">
        <f t="shared" ref="H2:H39" si="0">F2*G2</f>
        <v>1030</v>
      </c>
      <c r="I2" s="15">
        <f t="shared" ref="I2:I39" si="1">H2/60</f>
        <v>17.166666666666668</v>
      </c>
      <c r="J2" s="15">
        <f t="shared" ref="J2:J39" si="2">H2/3600</f>
        <v>0.28611111111111109</v>
      </c>
    </row>
    <row r="3" spans="1:10" x14ac:dyDescent="0.25">
      <c r="A3" t="s">
        <v>11</v>
      </c>
      <c r="B3" t="s">
        <v>12</v>
      </c>
      <c r="C3" t="s">
        <v>13</v>
      </c>
      <c r="D3" t="s">
        <v>14</v>
      </c>
      <c r="E3" t="s">
        <v>13</v>
      </c>
      <c r="F3">
        <v>172</v>
      </c>
      <c r="G3">
        <v>12</v>
      </c>
      <c r="H3">
        <f t="shared" si="0"/>
        <v>2064</v>
      </c>
      <c r="I3" s="15">
        <f t="shared" si="1"/>
        <v>34.4</v>
      </c>
      <c r="J3" s="15">
        <f t="shared" si="2"/>
        <v>0.57333333333333336</v>
      </c>
    </row>
    <row r="4" spans="1:10" x14ac:dyDescent="0.25">
      <c r="A4" t="s">
        <v>15</v>
      </c>
      <c r="B4" t="s">
        <v>8</v>
      </c>
      <c r="C4" t="s">
        <v>16</v>
      </c>
      <c r="D4" t="s">
        <v>10</v>
      </c>
      <c r="E4" t="s">
        <v>17</v>
      </c>
      <c r="F4">
        <v>114</v>
      </c>
      <c r="G4">
        <v>4</v>
      </c>
      <c r="H4">
        <f t="shared" si="0"/>
        <v>456</v>
      </c>
      <c r="I4" s="15">
        <f t="shared" si="1"/>
        <v>7.6</v>
      </c>
      <c r="J4" s="15">
        <f t="shared" si="2"/>
        <v>0.12666666666666668</v>
      </c>
    </row>
    <row r="5" spans="1:10" x14ac:dyDescent="0.25">
      <c r="A5" t="s">
        <v>18</v>
      </c>
      <c r="B5" t="s">
        <v>19</v>
      </c>
      <c r="C5" t="s">
        <v>20</v>
      </c>
      <c r="D5" t="s">
        <v>10</v>
      </c>
      <c r="E5" t="s">
        <v>21</v>
      </c>
      <c r="F5">
        <v>219</v>
      </c>
      <c r="G5">
        <v>5</v>
      </c>
      <c r="H5">
        <f t="shared" si="0"/>
        <v>1095</v>
      </c>
      <c r="I5" s="15">
        <f t="shared" si="1"/>
        <v>18.25</v>
      </c>
      <c r="J5" s="15">
        <f t="shared" si="2"/>
        <v>0.30416666666666664</v>
      </c>
    </row>
    <row r="6" spans="1:10" x14ac:dyDescent="0.25">
      <c r="A6" t="s">
        <v>22</v>
      </c>
      <c r="B6" t="s">
        <v>19</v>
      </c>
      <c r="C6" t="s">
        <v>23</v>
      </c>
      <c r="D6" t="s">
        <v>10</v>
      </c>
      <c r="E6" t="s">
        <v>24</v>
      </c>
      <c r="F6">
        <v>219</v>
      </c>
      <c r="G6">
        <v>4</v>
      </c>
      <c r="H6">
        <f t="shared" si="0"/>
        <v>876</v>
      </c>
      <c r="I6" s="15">
        <f t="shared" si="1"/>
        <v>14.6</v>
      </c>
      <c r="J6" s="15">
        <f t="shared" si="2"/>
        <v>0.24333333333333335</v>
      </c>
    </row>
    <row r="7" spans="1:10" x14ac:dyDescent="0.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>
        <v>148</v>
      </c>
      <c r="G7">
        <v>2</v>
      </c>
      <c r="H7">
        <f t="shared" si="0"/>
        <v>296</v>
      </c>
      <c r="I7" s="15">
        <f t="shared" si="1"/>
        <v>4.9333333333333336</v>
      </c>
      <c r="J7" s="15">
        <f t="shared" si="2"/>
        <v>8.2222222222222224E-2</v>
      </c>
    </row>
    <row r="8" spans="1:10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  <c r="F8">
        <v>145</v>
      </c>
      <c r="G8">
        <v>2</v>
      </c>
      <c r="H8">
        <f t="shared" si="0"/>
        <v>290</v>
      </c>
      <c r="I8" s="15">
        <f t="shared" si="1"/>
        <v>4.833333333333333</v>
      </c>
      <c r="J8" s="15">
        <f t="shared" si="2"/>
        <v>8.0555555555555561E-2</v>
      </c>
    </row>
    <row r="9" spans="1:10" x14ac:dyDescent="0.25">
      <c r="A9" t="s">
        <v>35</v>
      </c>
      <c r="B9" t="s">
        <v>36</v>
      </c>
      <c r="C9" t="s">
        <v>37</v>
      </c>
      <c r="D9" t="s">
        <v>38</v>
      </c>
      <c r="E9" t="s">
        <v>39</v>
      </c>
      <c r="F9">
        <v>167</v>
      </c>
      <c r="G9">
        <v>2</v>
      </c>
      <c r="H9">
        <f t="shared" si="0"/>
        <v>334</v>
      </c>
      <c r="I9" s="15">
        <f t="shared" si="1"/>
        <v>5.5666666666666664</v>
      </c>
      <c r="J9" s="15">
        <f t="shared" si="2"/>
        <v>9.2777777777777778E-2</v>
      </c>
    </row>
    <row r="10" spans="1:10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>
        <v>221</v>
      </c>
      <c r="G10">
        <v>7</v>
      </c>
      <c r="H10">
        <f t="shared" si="0"/>
        <v>1547</v>
      </c>
      <c r="I10" s="15">
        <f t="shared" si="1"/>
        <v>25.783333333333335</v>
      </c>
      <c r="J10" s="15">
        <f t="shared" si="2"/>
        <v>0.42972222222222223</v>
      </c>
    </row>
    <row r="11" spans="1:10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>
        <v>170</v>
      </c>
      <c r="G11">
        <v>6</v>
      </c>
      <c r="H11">
        <f t="shared" si="0"/>
        <v>1020</v>
      </c>
      <c r="I11" s="15">
        <f t="shared" si="1"/>
        <v>17</v>
      </c>
      <c r="J11" s="15">
        <f t="shared" si="2"/>
        <v>0.28333333333333333</v>
      </c>
    </row>
    <row r="12" spans="1:10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>
        <v>180</v>
      </c>
      <c r="G12">
        <v>7</v>
      </c>
      <c r="H12">
        <f t="shared" si="0"/>
        <v>1260</v>
      </c>
      <c r="I12" s="15">
        <f t="shared" si="1"/>
        <v>21</v>
      </c>
      <c r="J12" s="15">
        <f t="shared" si="2"/>
        <v>0.35</v>
      </c>
    </row>
    <row r="13" spans="1:10" x14ac:dyDescent="0.25">
      <c r="A13" t="s">
        <v>55</v>
      </c>
      <c r="B13" t="s">
        <v>56</v>
      </c>
      <c r="C13" t="s">
        <v>57</v>
      </c>
      <c r="D13" t="s">
        <v>38</v>
      </c>
      <c r="E13" t="s">
        <v>58</v>
      </c>
      <c r="F13">
        <v>163</v>
      </c>
      <c r="G13">
        <v>9</v>
      </c>
      <c r="H13">
        <f t="shared" si="0"/>
        <v>1467</v>
      </c>
      <c r="I13" s="15">
        <f t="shared" si="1"/>
        <v>24.45</v>
      </c>
      <c r="J13" s="15">
        <f t="shared" si="2"/>
        <v>0.40749999999999997</v>
      </c>
    </row>
    <row r="14" spans="1:10" x14ac:dyDescent="0.25">
      <c r="A14" t="s">
        <v>59</v>
      </c>
      <c r="B14" t="s">
        <v>56</v>
      </c>
      <c r="C14" t="s">
        <v>60</v>
      </c>
      <c r="D14" t="s">
        <v>38</v>
      </c>
      <c r="E14" t="s">
        <v>58</v>
      </c>
      <c r="F14">
        <v>175</v>
      </c>
      <c r="G14">
        <v>3</v>
      </c>
      <c r="H14">
        <f t="shared" si="0"/>
        <v>525</v>
      </c>
      <c r="I14" s="15">
        <f t="shared" si="1"/>
        <v>8.75</v>
      </c>
      <c r="J14" s="15">
        <f t="shared" si="2"/>
        <v>0.14583333333333334</v>
      </c>
    </row>
    <row r="15" spans="1:10" x14ac:dyDescent="0.25">
      <c r="A15" t="s">
        <v>61</v>
      </c>
      <c r="B15" t="s">
        <v>56</v>
      </c>
      <c r="C15" t="s">
        <v>62</v>
      </c>
      <c r="D15" t="s">
        <v>38</v>
      </c>
      <c r="E15" t="s">
        <v>58</v>
      </c>
      <c r="F15">
        <v>201</v>
      </c>
      <c r="G15">
        <v>2</v>
      </c>
      <c r="H15">
        <f t="shared" si="0"/>
        <v>402</v>
      </c>
      <c r="I15" s="15">
        <f t="shared" si="1"/>
        <v>6.7</v>
      </c>
      <c r="J15" s="15">
        <f t="shared" si="2"/>
        <v>0.11166666666666666</v>
      </c>
    </row>
    <row r="16" spans="1:10" x14ac:dyDescent="0.25">
      <c r="A16" t="s">
        <v>63</v>
      </c>
      <c r="B16" t="s">
        <v>56</v>
      </c>
      <c r="C16" t="s">
        <v>64</v>
      </c>
      <c r="D16" t="s">
        <v>38</v>
      </c>
      <c r="E16" t="s">
        <v>58</v>
      </c>
      <c r="F16">
        <v>157</v>
      </c>
      <c r="G16">
        <v>7</v>
      </c>
      <c r="H16">
        <f t="shared" si="0"/>
        <v>1099</v>
      </c>
      <c r="I16" s="15">
        <f t="shared" si="1"/>
        <v>18.316666666666666</v>
      </c>
      <c r="J16" s="15">
        <f t="shared" si="2"/>
        <v>0.30527777777777776</v>
      </c>
    </row>
    <row r="17" spans="1:10" x14ac:dyDescent="0.25">
      <c r="A17" t="s">
        <v>65</v>
      </c>
      <c r="B17" t="s">
        <v>56</v>
      </c>
      <c r="C17" t="s">
        <v>66</v>
      </c>
      <c r="D17" t="s">
        <v>38</v>
      </c>
      <c r="E17" t="s">
        <v>58</v>
      </c>
      <c r="F17">
        <v>162</v>
      </c>
      <c r="G17">
        <v>2</v>
      </c>
      <c r="H17">
        <f t="shared" si="0"/>
        <v>324</v>
      </c>
      <c r="I17" s="15">
        <f t="shared" si="1"/>
        <v>5.4</v>
      </c>
      <c r="J17" s="15">
        <f t="shared" si="2"/>
        <v>0.09</v>
      </c>
    </row>
    <row r="18" spans="1:10" x14ac:dyDescent="0.25">
      <c r="A18" t="s">
        <v>67</v>
      </c>
      <c r="B18" t="s">
        <v>56</v>
      </c>
      <c r="C18" t="s">
        <v>68</v>
      </c>
      <c r="D18" t="s">
        <v>38</v>
      </c>
      <c r="E18" t="s">
        <v>58</v>
      </c>
      <c r="F18">
        <v>192</v>
      </c>
      <c r="G18">
        <v>3</v>
      </c>
      <c r="H18">
        <f t="shared" si="0"/>
        <v>576</v>
      </c>
      <c r="I18" s="15">
        <f t="shared" si="1"/>
        <v>9.6</v>
      </c>
      <c r="J18" s="15">
        <f t="shared" si="2"/>
        <v>0.16</v>
      </c>
    </row>
    <row r="19" spans="1:10" x14ac:dyDescent="0.25">
      <c r="A19" t="s">
        <v>69</v>
      </c>
      <c r="B19" t="s">
        <v>70</v>
      </c>
      <c r="C19" t="s">
        <v>71</v>
      </c>
      <c r="D19" t="s">
        <v>72</v>
      </c>
      <c r="E19" t="s">
        <v>73</v>
      </c>
      <c r="F19">
        <v>159</v>
      </c>
      <c r="G19">
        <v>16</v>
      </c>
      <c r="H19">
        <f t="shared" si="0"/>
        <v>2544</v>
      </c>
      <c r="I19" s="15">
        <f t="shared" si="1"/>
        <v>42.4</v>
      </c>
      <c r="J19" s="15">
        <f t="shared" si="2"/>
        <v>0.70666666666666667</v>
      </c>
    </row>
    <row r="20" spans="1:10" x14ac:dyDescent="0.25">
      <c r="A20" t="s">
        <v>74</v>
      </c>
      <c r="B20" t="s">
        <v>56</v>
      </c>
      <c r="C20" t="s">
        <v>75</v>
      </c>
      <c r="D20" t="s">
        <v>38</v>
      </c>
      <c r="E20" t="s">
        <v>58</v>
      </c>
      <c r="F20">
        <v>172</v>
      </c>
      <c r="G20">
        <v>2</v>
      </c>
      <c r="H20">
        <f t="shared" si="0"/>
        <v>344</v>
      </c>
      <c r="I20" s="15">
        <f t="shared" si="1"/>
        <v>5.7333333333333334</v>
      </c>
      <c r="J20" s="15">
        <f t="shared" si="2"/>
        <v>9.555555555555556E-2</v>
      </c>
    </row>
    <row r="21" spans="1:10" x14ac:dyDescent="0.25">
      <c r="A21" t="s">
        <v>76</v>
      </c>
      <c r="B21" t="s">
        <v>36</v>
      </c>
      <c r="C21" t="s">
        <v>77</v>
      </c>
      <c r="D21" t="s">
        <v>38</v>
      </c>
      <c r="E21" t="s">
        <v>39</v>
      </c>
      <c r="F21">
        <v>197</v>
      </c>
      <c r="G21">
        <v>5</v>
      </c>
      <c r="H21">
        <f t="shared" si="0"/>
        <v>985</v>
      </c>
      <c r="I21" s="15">
        <f t="shared" si="1"/>
        <v>16.416666666666668</v>
      </c>
      <c r="J21" s="15">
        <f t="shared" si="2"/>
        <v>0.27361111111111114</v>
      </c>
    </row>
    <row r="22" spans="1:10" x14ac:dyDescent="0.25">
      <c r="A22" t="s">
        <v>78</v>
      </c>
      <c r="B22" t="s">
        <v>79</v>
      </c>
      <c r="C22" t="s">
        <v>80</v>
      </c>
      <c r="D22" t="s">
        <v>81</v>
      </c>
      <c r="E22" t="s">
        <v>82</v>
      </c>
      <c r="F22">
        <v>165</v>
      </c>
      <c r="G22">
        <v>10</v>
      </c>
      <c r="H22">
        <f t="shared" si="0"/>
        <v>1650</v>
      </c>
      <c r="I22" s="15">
        <f t="shared" si="1"/>
        <v>27.5</v>
      </c>
      <c r="J22" s="15">
        <f t="shared" si="2"/>
        <v>0.45833333333333331</v>
      </c>
    </row>
    <row r="23" spans="1:10" x14ac:dyDescent="0.25">
      <c r="A23" t="s">
        <v>83</v>
      </c>
      <c r="B23" t="s">
        <v>79</v>
      </c>
      <c r="C23" t="s">
        <v>84</v>
      </c>
      <c r="D23" t="s">
        <v>81</v>
      </c>
      <c r="E23" t="s">
        <v>85</v>
      </c>
      <c r="F23">
        <v>178</v>
      </c>
      <c r="G23">
        <v>4</v>
      </c>
      <c r="H23">
        <f t="shared" si="0"/>
        <v>712</v>
      </c>
      <c r="I23" s="15">
        <f t="shared" si="1"/>
        <v>11.866666666666667</v>
      </c>
      <c r="J23" s="15">
        <f t="shared" si="2"/>
        <v>0.19777777777777777</v>
      </c>
    </row>
    <row r="24" spans="1:10" x14ac:dyDescent="0.25">
      <c r="A24" t="s">
        <v>86</v>
      </c>
      <c r="B24" t="s">
        <v>79</v>
      </c>
      <c r="C24" t="s">
        <v>87</v>
      </c>
      <c r="D24" t="s">
        <v>88</v>
      </c>
      <c r="E24" t="s">
        <v>89</v>
      </c>
      <c r="F24">
        <v>179</v>
      </c>
      <c r="G24">
        <v>6</v>
      </c>
      <c r="H24">
        <f t="shared" si="0"/>
        <v>1074</v>
      </c>
      <c r="I24" s="15">
        <f t="shared" si="1"/>
        <v>17.899999999999999</v>
      </c>
      <c r="J24" s="15">
        <f t="shared" si="2"/>
        <v>0.29833333333333334</v>
      </c>
    </row>
    <row r="25" spans="1:10" x14ac:dyDescent="0.25">
      <c r="A25" t="s">
        <v>90</v>
      </c>
      <c r="B25" t="s">
        <v>79</v>
      </c>
      <c r="C25" t="s">
        <v>91</v>
      </c>
      <c r="D25" t="s">
        <v>33</v>
      </c>
      <c r="E25" t="s">
        <v>91</v>
      </c>
      <c r="F25">
        <v>210</v>
      </c>
      <c r="G25">
        <v>5</v>
      </c>
      <c r="H25">
        <f t="shared" si="0"/>
        <v>1050</v>
      </c>
      <c r="I25" s="15">
        <f t="shared" si="1"/>
        <v>17.5</v>
      </c>
      <c r="J25" s="15">
        <f t="shared" si="2"/>
        <v>0.29166666666666669</v>
      </c>
    </row>
    <row r="26" spans="1:10" x14ac:dyDescent="0.25">
      <c r="A26" t="s">
        <v>92</v>
      </c>
      <c r="B26" t="s">
        <v>79</v>
      </c>
      <c r="C26" t="s">
        <v>93</v>
      </c>
      <c r="D26" t="s">
        <v>33</v>
      </c>
      <c r="E26" t="s">
        <v>94</v>
      </c>
      <c r="F26">
        <v>189</v>
      </c>
      <c r="G26">
        <v>4</v>
      </c>
      <c r="H26">
        <f t="shared" si="0"/>
        <v>756</v>
      </c>
      <c r="I26" s="15">
        <f t="shared" si="1"/>
        <v>12.6</v>
      </c>
      <c r="J26" s="15">
        <f t="shared" si="2"/>
        <v>0.21</v>
      </c>
    </row>
    <row r="27" spans="1:10" x14ac:dyDescent="0.25">
      <c r="A27" t="s">
        <v>95</v>
      </c>
      <c r="B27" t="s">
        <v>79</v>
      </c>
      <c r="C27" t="s">
        <v>96</v>
      </c>
      <c r="D27" t="s">
        <v>33</v>
      </c>
      <c r="E27" t="s">
        <v>96</v>
      </c>
      <c r="F27">
        <v>192</v>
      </c>
      <c r="G27">
        <v>3</v>
      </c>
      <c r="H27">
        <f t="shared" si="0"/>
        <v>576</v>
      </c>
      <c r="I27" s="15">
        <f t="shared" si="1"/>
        <v>9.6</v>
      </c>
      <c r="J27" s="15">
        <f t="shared" si="2"/>
        <v>0.16</v>
      </c>
    </row>
    <row r="28" spans="1:10" x14ac:dyDescent="0.25">
      <c r="A28" t="s">
        <v>97</v>
      </c>
      <c r="B28" t="s">
        <v>79</v>
      </c>
      <c r="C28" t="s">
        <v>98</v>
      </c>
      <c r="D28" t="s">
        <v>33</v>
      </c>
      <c r="E28" t="s">
        <v>99</v>
      </c>
      <c r="F28">
        <v>163</v>
      </c>
      <c r="G28">
        <v>4</v>
      </c>
      <c r="H28">
        <f t="shared" si="0"/>
        <v>652</v>
      </c>
      <c r="I28" s="15">
        <f t="shared" si="1"/>
        <v>10.866666666666667</v>
      </c>
      <c r="J28" s="15">
        <f t="shared" si="2"/>
        <v>0.18111111111111111</v>
      </c>
    </row>
    <row r="29" spans="1:10" x14ac:dyDescent="0.25">
      <c r="A29" t="s">
        <v>100</v>
      </c>
      <c r="B29" t="s">
        <v>79</v>
      </c>
      <c r="C29" t="s">
        <v>101</v>
      </c>
      <c r="D29" t="s">
        <v>81</v>
      </c>
      <c r="E29" t="s">
        <v>101</v>
      </c>
      <c r="F29">
        <v>155</v>
      </c>
      <c r="G29">
        <v>2</v>
      </c>
      <c r="H29">
        <f t="shared" si="0"/>
        <v>310</v>
      </c>
      <c r="I29" s="15">
        <f t="shared" si="1"/>
        <v>5.166666666666667</v>
      </c>
      <c r="J29" s="15">
        <f t="shared" si="2"/>
        <v>8.611111111111111E-2</v>
      </c>
    </row>
    <row r="30" spans="1:10" x14ac:dyDescent="0.25">
      <c r="A30" t="s">
        <v>102</v>
      </c>
      <c r="B30" t="s">
        <v>79</v>
      </c>
      <c r="C30" t="s">
        <v>103</v>
      </c>
      <c r="D30" t="s">
        <v>33</v>
      </c>
      <c r="E30" t="s">
        <v>104</v>
      </c>
      <c r="F30">
        <v>157</v>
      </c>
      <c r="G30">
        <v>2</v>
      </c>
      <c r="H30">
        <f t="shared" si="0"/>
        <v>314</v>
      </c>
      <c r="I30" s="15">
        <f t="shared" si="1"/>
        <v>5.2333333333333334</v>
      </c>
      <c r="J30" s="15">
        <f t="shared" si="2"/>
        <v>8.7222222222222229E-2</v>
      </c>
    </row>
    <row r="31" spans="1:10" x14ac:dyDescent="0.25">
      <c r="A31" t="s">
        <v>105</v>
      </c>
      <c r="B31" t="s">
        <v>106</v>
      </c>
      <c r="C31" t="s">
        <v>107</v>
      </c>
      <c r="D31" t="s">
        <v>81</v>
      </c>
      <c r="E31" t="s">
        <v>108</v>
      </c>
      <c r="F31">
        <v>159</v>
      </c>
      <c r="G31">
        <v>4</v>
      </c>
      <c r="H31">
        <f t="shared" si="0"/>
        <v>636</v>
      </c>
      <c r="I31" s="15">
        <f t="shared" si="1"/>
        <v>10.6</v>
      </c>
      <c r="J31" s="15">
        <f t="shared" si="2"/>
        <v>0.17666666666666667</v>
      </c>
    </row>
    <row r="32" spans="1:10" x14ac:dyDescent="0.25">
      <c r="A32" t="s">
        <v>109</v>
      </c>
      <c r="B32" t="s">
        <v>110</v>
      </c>
      <c r="C32" t="s">
        <v>111</v>
      </c>
      <c r="D32" t="s">
        <v>28</v>
      </c>
      <c r="E32" t="s">
        <v>112</v>
      </c>
      <c r="F32">
        <v>150</v>
      </c>
      <c r="G32">
        <v>3</v>
      </c>
      <c r="H32">
        <f t="shared" si="0"/>
        <v>450</v>
      </c>
      <c r="I32" s="15">
        <f t="shared" si="1"/>
        <v>7.5</v>
      </c>
      <c r="J32" s="15">
        <f t="shared" si="2"/>
        <v>0.125</v>
      </c>
    </row>
    <row r="33" spans="1:10" x14ac:dyDescent="0.25">
      <c r="A33" t="s">
        <v>113</v>
      </c>
      <c r="B33" t="s">
        <v>114</v>
      </c>
      <c r="C33" t="s">
        <v>115</v>
      </c>
      <c r="D33" t="s">
        <v>116</v>
      </c>
      <c r="E33" t="s">
        <v>117</v>
      </c>
      <c r="F33">
        <v>339</v>
      </c>
      <c r="G33">
        <v>4</v>
      </c>
      <c r="H33">
        <f t="shared" si="0"/>
        <v>1356</v>
      </c>
      <c r="I33" s="15">
        <f t="shared" si="1"/>
        <v>22.6</v>
      </c>
      <c r="J33" s="15">
        <f t="shared" si="2"/>
        <v>0.37666666666666665</v>
      </c>
    </row>
    <row r="34" spans="1:10" x14ac:dyDescent="0.25">
      <c r="A34" t="s">
        <v>118</v>
      </c>
      <c r="B34" t="s">
        <v>119</v>
      </c>
      <c r="C34" t="s">
        <v>120</v>
      </c>
      <c r="D34" t="s">
        <v>121</v>
      </c>
      <c r="E34" t="s">
        <v>122</v>
      </c>
      <c r="F34">
        <v>157</v>
      </c>
      <c r="G34">
        <v>1</v>
      </c>
      <c r="H34">
        <f t="shared" si="0"/>
        <v>157</v>
      </c>
      <c r="I34" s="15">
        <f t="shared" si="1"/>
        <v>2.6166666666666667</v>
      </c>
      <c r="J34" s="15">
        <f t="shared" si="2"/>
        <v>4.3611111111111114E-2</v>
      </c>
    </row>
    <row r="35" spans="1:10" x14ac:dyDescent="0.25">
      <c r="A35" t="s">
        <v>123</v>
      </c>
      <c r="B35" t="s">
        <v>114</v>
      </c>
      <c r="C35" t="s">
        <v>124</v>
      </c>
      <c r="D35" t="s">
        <v>116</v>
      </c>
      <c r="E35" t="s">
        <v>124</v>
      </c>
      <c r="F35">
        <v>573</v>
      </c>
      <c r="G35">
        <v>2</v>
      </c>
      <c r="H35">
        <f t="shared" si="0"/>
        <v>1146</v>
      </c>
      <c r="I35" s="15">
        <f t="shared" si="1"/>
        <v>19.100000000000001</v>
      </c>
      <c r="J35" s="15">
        <f t="shared" si="2"/>
        <v>0.31833333333333336</v>
      </c>
    </row>
    <row r="36" spans="1:10" x14ac:dyDescent="0.25">
      <c r="A36" t="s">
        <v>125</v>
      </c>
      <c r="B36" t="s">
        <v>126</v>
      </c>
      <c r="C36" t="s">
        <v>127</v>
      </c>
      <c r="D36" t="s">
        <v>116</v>
      </c>
      <c r="E36" t="s">
        <v>127</v>
      </c>
      <c r="F36">
        <v>194</v>
      </c>
      <c r="G36">
        <v>1</v>
      </c>
      <c r="H36">
        <f t="shared" si="0"/>
        <v>194</v>
      </c>
      <c r="I36" s="15">
        <f t="shared" si="1"/>
        <v>3.2333333333333334</v>
      </c>
      <c r="J36" s="15">
        <f t="shared" si="2"/>
        <v>5.3888888888888889E-2</v>
      </c>
    </row>
    <row r="37" spans="1:10" x14ac:dyDescent="0.25">
      <c r="A37" t="s">
        <v>128</v>
      </c>
      <c r="B37" t="s">
        <v>129</v>
      </c>
      <c r="C37" t="s">
        <v>130</v>
      </c>
      <c r="D37" t="s">
        <v>116</v>
      </c>
      <c r="E37" t="s">
        <v>130</v>
      </c>
      <c r="F37">
        <v>487</v>
      </c>
      <c r="G37">
        <v>2</v>
      </c>
      <c r="H37">
        <f t="shared" si="0"/>
        <v>974</v>
      </c>
      <c r="I37" s="15">
        <f t="shared" si="1"/>
        <v>16.233333333333334</v>
      </c>
      <c r="J37" s="15">
        <f t="shared" si="2"/>
        <v>0.27055555555555555</v>
      </c>
    </row>
    <row r="38" spans="1:10" x14ac:dyDescent="0.25">
      <c r="A38" t="s">
        <v>131</v>
      </c>
      <c r="B38" t="s">
        <v>129</v>
      </c>
      <c r="C38" t="s">
        <v>132</v>
      </c>
      <c r="D38" t="s">
        <v>116</v>
      </c>
      <c r="E38" t="s">
        <v>132</v>
      </c>
      <c r="F38">
        <v>200</v>
      </c>
      <c r="G38">
        <v>1</v>
      </c>
      <c r="H38">
        <f t="shared" si="0"/>
        <v>200</v>
      </c>
      <c r="I38" s="15">
        <f t="shared" si="1"/>
        <v>3.3333333333333335</v>
      </c>
      <c r="J38" s="15">
        <f t="shared" si="2"/>
        <v>5.5555555555555552E-2</v>
      </c>
    </row>
    <row r="39" spans="1:10" x14ac:dyDescent="0.25">
      <c r="A39" t="s">
        <v>133</v>
      </c>
      <c r="B39" t="s">
        <v>129</v>
      </c>
      <c r="C39" t="s">
        <v>134</v>
      </c>
      <c r="D39" t="s">
        <v>116</v>
      </c>
      <c r="E39" t="s">
        <v>134</v>
      </c>
      <c r="F39">
        <v>425</v>
      </c>
      <c r="G39">
        <v>1</v>
      </c>
      <c r="H39">
        <f t="shared" si="0"/>
        <v>425</v>
      </c>
      <c r="I39" s="15">
        <f t="shared" si="1"/>
        <v>7.083333333333333</v>
      </c>
      <c r="J39" s="15">
        <f t="shared" si="2"/>
        <v>0.11805555555555555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3"/>
  <sheetViews>
    <sheetView topLeftCell="A31" workbookViewId="0">
      <selection activeCell="J7" sqref="J7"/>
    </sheetView>
  </sheetViews>
  <sheetFormatPr defaultRowHeight="15" x14ac:dyDescent="0.25"/>
  <cols>
    <col min="1" max="1" width="21.140625" customWidth="1"/>
    <col min="2" max="2" width="9.140625" style="16"/>
    <col min="4" max="4" width="16.85546875" customWidth="1"/>
    <col min="5" max="5" width="20" customWidth="1"/>
    <col min="6" max="6" width="20" style="15" customWidth="1"/>
    <col min="7" max="7" width="29.7109375" customWidth="1"/>
    <col min="8" max="8" width="23.140625" customWidth="1"/>
  </cols>
  <sheetData>
    <row r="1" spans="1:8" x14ac:dyDescent="0.25">
      <c r="A1" t="s">
        <v>135</v>
      </c>
      <c r="B1" s="16" t="s">
        <v>136</v>
      </c>
      <c r="C1" t="s">
        <v>137</v>
      </c>
      <c r="D1" t="s">
        <v>138</v>
      </c>
      <c r="E1" t="s">
        <v>139</v>
      </c>
      <c r="F1" s="15" t="s">
        <v>171</v>
      </c>
      <c r="G1" t="s">
        <v>140</v>
      </c>
      <c r="H1" t="s">
        <v>161</v>
      </c>
    </row>
    <row r="2" spans="1:8" x14ac:dyDescent="0.25">
      <c r="A2" s="1">
        <v>46023</v>
      </c>
      <c r="B2" s="16">
        <v>0.34375</v>
      </c>
      <c r="C2" t="s">
        <v>69</v>
      </c>
      <c r="D2" t="s">
        <v>141</v>
      </c>
      <c r="E2">
        <v>159</v>
      </c>
      <c r="F2" s="15">
        <f t="shared" ref="F2:F33" si="0">E2/60</f>
        <v>2.65</v>
      </c>
      <c r="G2" t="s">
        <v>142</v>
      </c>
      <c r="H2" t="str">
        <f t="shared" ref="H2:H33" si="1">IF(HOUR(B2)&lt;6,"Madrugada",IF(HOUR(B2)&lt;12,"Manhã",IF(HOUR(B2)&lt;18,"Tarde","Noite")))</f>
        <v>Manhã</v>
      </c>
    </row>
    <row r="3" spans="1:8" x14ac:dyDescent="0.25">
      <c r="A3" s="1">
        <v>46023</v>
      </c>
      <c r="B3" s="16">
        <v>0.3611111111111111</v>
      </c>
      <c r="C3" t="s">
        <v>69</v>
      </c>
      <c r="D3" t="s">
        <v>141</v>
      </c>
      <c r="E3">
        <v>100</v>
      </c>
      <c r="F3" s="15">
        <f t="shared" si="0"/>
        <v>1.6666666666666667</v>
      </c>
      <c r="G3" t="s">
        <v>144</v>
      </c>
      <c r="H3" t="str">
        <f t="shared" si="1"/>
        <v>Manhã</v>
      </c>
    </row>
    <row r="4" spans="1:8" x14ac:dyDescent="0.25">
      <c r="A4" s="1">
        <v>46023</v>
      </c>
      <c r="B4" s="16">
        <v>0.4375</v>
      </c>
      <c r="C4" t="s">
        <v>7</v>
      </c>
      <c r="D4" t="s">
        <v>141</v>
      </c>
      <c r="E4">
        <v>103</v>
      </c>
      <c r="F4" s="15">
        <f t="shared" si="0"/>
        <v>1.7166666666666666</v>
      </c>
      <c r="G4" t="s">
        <v>142</v>
      </c>
      <c r="H4" t="str">
        <f t="shared" si="1"/>
        <v>Manhã</v>
      </c>
    </row>
    <row r="5" spans="1:8" x14ac:dyDescent="0.25">
      <c r="A5" s="1">
        <v>46023</v>
      </c>
      <c r="B5" s="16">
        <v>0.44097222222222227</v>
      </c>
      <c r="C5" t="s">
        <v>18</v>
      </c>
      <c r="D5" t="s">
        <v>141</v>
      </c>
      <c r="E5">
        <v>202</v>
      </c>
      <c r="F5" s="15">
        <f t="shared" si="0"/>
        <v>3.3666666666666667</v>
      </c>
      <c r="G5" t="s">
        <v>144</v>
      </c>
      <c r="H5" t="str">
        <f t="shared" si="1"/>
        <v>Manhã</v>
      </c>
    </row>
    <row r="6" spans="1:8" x14ac:dyDescent="0.25">
      <c r="A6" s="1">
        <v>46023</v>
      </c>
      <c r="B6" s="16">
        <v>0.4513888888888889</v>
      </c>
      <c r="C6" t="s">
        <v>74</v>
      </c>
      <c r="D6" t="s">
        <v>141</v>
      </c>
      <c r="E6">
        <v>172</v>
      </c>
      <c r="F6" s="15">
        <f t="shared" si="0"/>
        <v>2.8666666666666667</v>
      </c>
      <c r="G6" t="s">
        <v>142</v>
      </c>
      <c r="H6" t="str">
        <f t="shared" si="1"/>
        <v>Manhã</v>
      </c>
    </row>
    <row r="7" spans="1:8" x14ac:dyDescent="0.25">
      <c r="A7" s="1">
        <v>46023</v>
      </c>
      <c r="B7" s="16">
        <v>0.58333333333333337</v>
      </c>
      <c r="C7" t="s">
        <v>92</v>
      </c>
      <c r="D7" t="s">
        <v>143</v>
      </c>
      <c r="E7">
        <v>189</v>
      </c>
      <c r="F7" s="15">
        <f t="shared" si="0"/>
        <v>3.15</v>
      </c>
      <c r="G7" t="s">
        <v>142</v>
      </c>
      <c r="H7" t="str">
        <f t="shared" si="1"/>
        <v>Tarde</v>
      </c>
    </row>
    <row r="8" spans="1:8" x14ac:dyDescent="0.25">
      <c r="A8" s="1">
        <v>46023</v>
      </c>
      <c r="B8" s="16">
        <v>0.61805555555555558</v>
      </c>
      <c r="C8" t="s">
        <v>92</v>
      </c>
      <c r="D8" t="s">
        <v>143</v>
      </c>
      <c r="E8">
        <v>189</v>
      </c>
      <c r="F8" s="15">
        <f t="shared" si="0"/>
        <v>3.15</v>
      </c>
      <c r="G8" t="s">
        <v>142</v>
      </c>
      <c r="H8" t="str">
        <f t="shared" si="1"/>
        <v>Tarde</v>
      </c>
    </row>
    <row r="9" spans="1:8" x14ac:dyDescent="0.25">
      <c r="A9" s="1">
        <v>46023</v>
      </c>
      <c r="B9" s="16">
        <v>0.84236111111111101</v>
      </c>
      <c r="C9" t="s">
        <v>97</v>
      </c>
      <c r="D9" t="s">
        <v>141</v>
      </c>
      <c r="E9">
        <v>50</v>
      </c>
      <c r="F9" s="15">
        <f t="shared" si="0"/>
        <v>0.83333333333333337</v>
      </c>
      <c r="G9" t="s">
        <v>144</v>
      </c>
      <c r="H9" t="str">
        <f t="shared" si="1"/>
        <v>Noite</v>
      </c>
    </row>
    <row r="10" spans="1:8" x14ac:dyDescent="0.25">
      <c r="A10" s="1">
        <v>46024</v>
      </c>
      <c r="B10" s="16">
        <v>0.3125</v>
      </c>
      <c r="C10" t="s">
        <v>113</v>
      </c>
      <c r="D10" t="s">
        <v>143</v>
      </c>
      <c r="E10">
        <v>200</v>
      </c>
      <c r="F10" s="15">
        <f t="shared" si="0"/>
        <v>3.3333333333333335</v>
      </c>
      <c r="G10" t="s">
        <v>144</v>
      </c>
      <c r="H10" t="str">
        <f t="shared" si="1"/>
        <v>Manhã</v>
      </c>
    </row>
    <row r="11" spans="1:8" x14ac:dyDescent="0.25">
      <c r="A11" s="1">
        <v>46024</v>
      </c>
      <c r="B11" s="16">
        <v>0.3263888888888889</v>
      </c>
      <c r="C11" t="s">
        <v>22</v>
      </c>
      <c r="D11" t="s">
        <v>143</v>
      </c>
      <c r="E11">
        <v>219</v>
      </c>
      <c r="F11" s="15">
        <f t="shared" si="0"/>
        <v>3.65</v>
      </c>
      <c r="G11" t="s">
        <v>142</v>
      </c>
      <c r="H11" t="str">
        <f t="shared" si="1"/>
        <v>Manhã</v>
      </c>
    </row>
    <row r="12" spans="1:8" x14ac:dyDescent="0.25">
      <c r="A12" s="1">
        <v>46025</v>
      </c>
      <c r="B12" s="16">
        <v>0.54791666666666672</v>
      </c>
      <c r="C12" t="s">
        <v>7</v>
      </c>
      <c r="D12" t="s">
        <v>141</v>
      </c>
      <c r="E12">
        <v>103</v>
      </c>
      <c r="F12" s="15">
        <f t="shared" si="0"/>
        <v>1.7166666666666666</v>
      </c>
      <c r="G12" t="s">
        <v>142</v>
      </c>
      <c r="H12" t="str">
        <f t="shared" si="1"/>
        <v>Tarde</v>
      </c>
    </row>
    <row r="13" spans="1:8" x14ac:dyDescent="0.25">
      <c r="A13" s="1">
        <v>46025</v>
      </c>
      <c r="B13" s="16">
        <v>0.55069444444444449</v>
      </c>
      <c r="C13" t="s">
        <v>7</v>
      </c>
      <c r="D13" t="s">
        <v>141</v>
      </c>
      <c r="E13">
        <v>103</v>
      </c>
      <c r="F13" s="15">
        <f t="shared" si="0"/>
        <v>1.7166666666666666</v>
      </c>
      <c r="G13" t="s">
        <v>142</v>
      </c>
      <c r="H13" t="str">
        <f t="shared" si="1"/>
        <v>Tarde</v>
      </c>
    </row>
    <row r="14" spans="1:8" x14ac:dyDescent="0.25">
      <c r="A14" s="1">
        <v>46025</v>
      </c>
      <c r="B14" s="16">
        <v>0.55277777777777781</v>
      </c>
      <c r="C14" t="s">
        <v>7</v>
      </c>
      <c r="D14" s="2" t="s">
        <v>141</v>
      </c>
      <c r="E14">
        <v>103</v>
      </c>
      <c r="F14" s="15">
        <f t="shared" si="0"/>
        <v>1.7166666666666666</v>
      </c>
      <c r="G14" t="s">
        <v>142</v>
      </c>
      <c r="H14" t="str">
        <f t="shared" si="1"/>
        <v>Tarde</v>
      </c>
    </row>
    <row r="15" spans="1:8" x14ac:dyDescent="0.25">
      <c r="A15" s="1">
        <v>46025</v>
      </c>
      <c r="B15" s="16">
        <v>0.75</v>
      </c>
      <c r="C15" t="s">
        <v>92</v>
      </c>
      <c r="D15" s="2" t="s">
        <v>141</v>
      </c>
      <c r="E15">
        <v>189</v>
      </c>
      <c r="F15" s="15">
        <f t="shared" si="0"/>
        <v>3.15</v>
      </c>
      <c r="G15" t="s">
        <v>142</v>
      </c>
      <c r="H15" t="str">
        <f t="shared" si="1"/>
        <v>Noite</v>
      </c>
    </row>
    <row r="16" spans="1:8" x14ac:dyDescent="0.25">
      <c r="A16" s="1">
        <v>46026</v>
      </c>
      <c r="B16" s="16">
        <v>0.67083333333333339</v>
      </c>
      <c r="C16" t="s">
        <v>69</v>
      </c>
      <c r="D16" s="2" t="s">
        <v>141</v>
      </c>
      <c r="E16">
        <v>145</v>
      </c>
      <c r="F16" s="15">
        <f t="shared" si="0"/>
        <v>2.4166666666666665</v>
      </c>
      <c r="G16" t="s">
        <v>144</v>
      </c>
      <c r="H16" t="str">
        <f t="shared" si="1"/>
        <v>Tarde</v>
      </c>
    </row>
    <row r="17" spans="1:8" x14ac:dyDescent="0.25">
      <c r="A17" s="1">
        <v>46027</v>
      </c>
      <c r="B17" s="16">
        <v>0.36458333333333331</v>
      </c>
      <c r="C17" t="s">
        <v>90</v>
      </c>
      <c r="D17" s="2" t="s">
        <v>141</v>
      </c>
      <c r="E17">
        <v>200</v>
      </c>
      <c r="F17" s="15">
        <f t="shared" si="0"/>
        <v>3.3333333333333335</v>
      </c>
      <c r="G17" t="s">
        <v>144</v>
      </c>
      <c r="H17" t="str">
        <f t="shared" si="1"/>
        <v>Manhã</v>
      </c>
    </row>
    <row r="18" spans="1:8" x14ac:dyDescent="0.25">
      <c r="A18" s="1">
        <v>46027</v>
      </c>
      <c r="B18" s="16">
        <v>0.36805555555555558</v>
      </c>
      <c r="C18" t="s">
        <v>55</v>
      </c>
      <c r="D18" s="2" t="s">
        <v>141</v>
      </c>
      <c r="E18">
        <v>163</v>
      </c>
      <c r="F18" s="15">
        <f t="shared" si="0"/>
        <v>2.7166666666666668</v>
      </c>
      <c r="G18" t="s">
        <v>142</v>
      </c>
      <c r="H18" t="str">
        <f t="shared" si="1"/>
        <v>Manhã</v>
      </c>
    </row>
    <row r="19" spans="1:8" x14ac:dyDescent="0.25">
      <c r="A19" s="1">
        <v>46027</v>
      </c>
      <c r="B19" s="16">
        <v>0.3840277777777778</v>
      </c>
      <c r="C19" t="s">
        <v>123</v>
      </c>
      <c r="D19" s="2" t="s">
        <v>141</v>
      </c>
      <c r="E19">
        <v>413</v>
      </c>
      <c r="F19" s="15">
        <f t="shared" si="0"/>
        <v>6.8833333333333337</v>
      </c>
      <c r="G19" t="s">
        <v>144</v>
      </c>
      <c r="H19" t="str">
        <f t="shared" si="1"/>
        <v>Manhã</v>
      </c>
    </row>
    <row r="20" spans="1:8" x14ac:dyDescent="0.25">
      <c r="A20" s="1">
        <v>46027</v>
      </c>
      <c r="B20" s="16">
        <v>0.39861111111111108</v>
      </c>
      <c r="C20" t="s">
        <v>55</v>
      </c>
      <c r="D20" s="2" t="s">
        <v>141</v>
      </c>
      <c r="E20">
        <v>163</v>
      </c>
      <c r="F20" s="15">
        <f t="shared" si="0"/>
        <v>2.7166666666666668</v>
      </c>
      <c r="G20" t="s">
        <v>142</v>
      </c>
      <c r="H20" t="str">
        <f t="shared" si="1"/>
        <v>Manhã</v>
      </c>
    </row>
    <row r="21" spans="1:8" x14ac:dyDescent="0.25">
      <c r="A21" s="1">
        <v>46027</v>
      </c>
      <c r="B21" s="16">
        <v>0.4145833333333333</v>
      </c>
      <c r="C21" t="s">
        <v>69</v>
      </c>
      <c r="D21" s="2" t="s">
        <v>141</v>
      </c>
      <c r="E21">
        <v>30</v>
      </c>
      <c r="F21" s="15">
        <f t="shared" si="0"/>
        <v>0.5</v>
      </c>
      <c r="G21" t="s">
        <v>144</v>
      </c>
      <c r="H21" t="str">
        <f t="shared" si="1"/>
        <v>Manhã</v>
      </c>
    </row>
    <row r="22" spans="1:8" x14ac:dyDescent="0.25">
      <c r="A22" s="1">
        <v>46027</v>
      </c>
      <c r="B22" s="16">
        <v>0.48194444444444445</v>
      </c>
      <c r="C22" t="s">
        <v>22</v>
      </c>
      <c r="D22" s="2" t="s">
        <v>141</v>
      </c>
      <c r="E22">
        <v>219</v>
      </c>
      <c r="F22" s="15">
        <f t="shared" si="0"/>
        <v>3.65</v>
      </c>
      <c r="G22" t="s">
        <v>142</v>
      </c>
      <c r="H22" t="str">
        <f t="shared" si="1"/>
        <v>Manhã</v>
      </c>
    </row>
    <row r="23" spans="1:8" x14ac:dyDescent="0.25">
      <c r="A23" s="1">
        <v>46027</v>
      </c>
      <c r="B23" s="16">
        <v>0.5</v>
      </c>
      <c r="C23" t="s">
        <v>65</v>
      </c>
      <c r="D23" s="2" t="s">
        <v>141</v>
      </c>
      <c r="E23">
        <v>162</v>
      </c>
      <c r="F23" s="15">
        <f t="shared" si="0"/>
        <v>2.7</v>
      </c>
      <c r="G23" t="s">
        <v>142</v>
      </c>
      <c r="H23" t="str">
        <f t="shared" si="1"/>
        <v>Tarde</v>
      </c>
    </row>
    <row r="24" spans="1:8" x14ac:dyDescent="0.25">
      <c r="A24" s="1">
        <v>46027</v>
      </c>
      <c r="B24" s="16">
        <v>0.52222222222222225</v>
      </c>
      <c r="C24" t="s">
        <v>65</v>
      </c>
      <c r="D24" s="2" t="s">
        <v>141</v>
      </c>
      <c r="E24">
        <v>162</v>
      </c>
      <c r="F24" s="15">
        <f t="shared" si="0"/>
        <v>2.7</v>
      </c>
      <c r="G24" t="s">
        <v>142</v>
      </c>
      <c r="H24" t="str">
        <f t="shared" si="1"/>
        <v>Tarde</v>
      </c>
    </row>
    <row r="25" spans="1:8" x14ac:dyDescent="0.25">
      <c r="A25" s="1">
        <v>46027</v>
      </c>
      <c r="B25" s="16">
        <v>0.54027777777777775</v>
      </c>
      <c r="C25" t="s">
        <v>128</v>
      </c>
      <c r="D25" s="2" t="s">
        <v>141</v>
      </c>
      <c r="E25">
        <v>487</v>
      </c>
      <c r="F25" s="15">
        <f t="shared" si="0"/>
        <v>8.1166666666666671</v>
      </c>
      <c r="G25" t="s">
        <v>142</v>
      </c>
      <c r="H25" t="str">
        <f t="shared" si="1"/>
        <v>Tarde</v>
      </c>
    </row>
    <row r="26" spans="1:8" x14ac:dyDescent="0.25">
      <c r="A26" s="1">
        <v>46027</v>
      </c>
      <c r="B26" s="16">
        <v>0.75416666666666676</v>
      </c>
      <c r="C26" t="s">
        <v>30</v>
      </c>
      <c r="D26" s="2" t="s">
        <v>141</v>
      </c>
      <c r="E26">
        <v>25</v>
      </c>
      <c r="F26" s="15">
        <f t="shared" si="0"/>
        <v>0.41666666666666669</v>
      </c>
      <c r="G26" t="s">
        <v>144</v>
      </c>
      <c r="H26" t="str">
        <f t="shared" si="1"/>
        <v>Noite</v>
      </c>
    </row>
    <row r="27" spans="1:8" x14ac:dyDescent="0.25">
      <c r="A27" s="1">
        <v>46028</v>
      </c>
      <c r="B27" s="16">
        <v>0.2590277777777778</v>
      </c>
      <c r="C27" t="s">
        <v>86</v>
      </c>
      <c r="D27" s="2" t="s">
        <v>143</v>
      </c>
      <c r="E27">
        <v>179</v>
      </c>
      <c r="F27" s="15">
        <f t="shared" si="0"/>
        <v>2.9833333333333334</v>
      </c>
      <c r="G27" t="s">
        <v>142</v>
      </c>
      <c r="H27" t="str">
        <f t="shared" si="1"/>
        <v>Manhã</v>
      </c>
    </row>
    <row r="28" spans="1:8" x14ac:dyDescent="0.25">
      <c r="A28" s="1">
        <v>46028</v>
      </c>
      <c r="B28" s="16">
        <v>0.26111111111111113</v>
      </c>
      <c r="C28" t="s">
        <v>86</v>
      </c>
      <c r="D28" s="2" t="s">
        <v>143</v>
      </c>
      <c r="E28">
        <v>179</v>
      </c>
      <c r="F28" s="15">
        <f t="shared" si="0"/>
        <v>2.9833333333333334</v>
      </c>
      <c r="G28" t="s">
        <v>142</v>
      </c>
      <c r="H28" t="str">
        <f t="shared" si="1"/>
        <v>Manhã</v>
      </c>
    </row>
    <row r="29" spans="1:8" x14ac:dyDescent="0.25">
      <c r="A29" s="1">
        <v>46028</v>
      </c>
      <c r="B29" s="16">
        <v>0.27361111111111108</v>
      </c>
      <c r="C29" t="s">
        <v>22</v>
      </c>
      <c r="D29" s="2" t="s">
        <v>143</v>
      </c>
      <c r="E29">
        <v>103</v>
      </c>
      <c r="F29" s="15">
        <f t="shared" si="0"/>
        <v>1.7166666666666666</v>
      </c>
      <c r="G29" t="s">
        <v>144</v>
      </c>
      <c r="H29" t="str">
        <f t="shared" si="1"/>
        <v>Manhã</v>
      </c>
    </row>
    <row r="30" spans="1:8" x14ac:dyDescent="0.25">
      <c r="A30" s="1">
        <v>46028</v>
      </c>
      <c r="B30" s="16">
        <v>0.28611111111111115</v>
      </c>
      <c r="C30" t="s">
        <v>97</v>
      </c>
      <c r="D30" s="2" t="s">
        <v>143</v>
      </c>
      <c r="E30">
        <v>163</v>
      </c>
      <c r="F30" s="15">
        <f t="shared" si="0"/>
        <v>2.7166666666666668</v>
      </c>
      <c r="G30" t="s">
        <v>142</v>
      </c>
      <c r="H30" t="str">
        <f t="shared" si="1"/>
        <v>Manhã</v>
      </c>
    </row>
    <row r="31" spans="1:8" x14ac:dyDescent="0.25">
      <c r="A31" s="1">
        <v>46028</v>
      </c>
      <c r="B31" s="16">
        <v>0.34166666666666662</v>
      </c>
      <c r="C31" t="s">
        <v>97</v>
      </c>
      <c r="D31" s="2" t="s">
        <v>143</v>
      </c>
      <c r="E31">
        <v>56</v>
      </c>
      <c r="F31" s="15">
        <f t="shared" si="0"/>
        <v>0.93333333333333335</v>
      </c>
      <c r="G31" t="s">
        <v>144</v>
      </c>
      <c r="H31" t="str">
        <f t="shared" si="1"/>
        <v>Manhã</v>
      </c>
    </row>
    <row r="32" spans="1:8" x14ac:dyDescent="0.25">
      <c r="A32" s="1">
        <v>46028</v>
      </c>
      <c r="B32" s="16">
        <v>0.3430555555555555</v>
      </c>
      <c r="C32" t="s">
        <v>76</v>
      </c>
      <c r="D32" s="2" t="s">
        <v>143</v>
      </c>
      <c r="E32">
        <v>197</v>
      </c>
      <c r="F32" s="15">
        <f t="shared" si="0"/>
        <v>3.2833333333333332</v>
      </c>
      <c r="G32" t="s">
        <v>142</v>
      </c>
      <c r="H32" t="str">
        <f t="shared" si="1"/>
        <v>Manhã</v>
      </c>
    </row>
    <row r="33" spans="1:8" x14ac:dyDescent="0.25">
      <c r="A33" s="1">
        <v>46028</v>
      </c>
      <c r="B33" s="16">
        <v>0.35000000000000003</v>
      </c>
      <c r="C33" t="s">
        <v>76</v>
      </c>
      <c r="D33" s="2" t="s">
        <v>143</v>
      </c>
      <c r="E33">
        <v>197</v>
      </c>
      <c r="F33" s="15">
        <f t="shared" si="0"/>
        <v>3.2833333333333332</v>
      </c>
      <c r="G33" t="s">
        <v>142</v>
      </c>
      <c r="H33" t="str">
        <f t="shared" si="1"/>
        <v>Manhã</v>
      </c>
    </row>
    <row r="34" spans="1:8" x14ac:dyDescent="0.25">
      <c r="A34" s="1">
        <v>46028</v>
      </c>
      <c r="B34" s="16">
        <v>0.375</v>
      </c>
      <c r="C34" t="s">
        <v>90</v>
      </c>
      <c r="D34" s="2" t="s">
        <v>143</v>
      </c>
      <c r="E34">
        <v>200</v>
      </c>
      <c r="F34" s="15">
        <f t="shared" ref="F34:F65" si="2">E34/60</f>
        <v>3.3333333333333335</v>
      </c>
      <c r="G34" t="s">
        <v>144</v>
      </c>
      <c r="H34" t="str">
        <f t="shared" ref="H34:H65" si="3">IF(HOUR(B34)&lt;6,"Madrugada",IF(HOUR(B34)&lt;12,"Manhã",IF(HOUR(B34)&lt;18,"Tarde","Noite")))</f>
        <v>Manhã</v>
      </c>
    </row>
    <row r="35" spans="1:8" x14ac:dyDescent="0.25">
      <c r="A35" s="1">
        <v>46028</v>
      </c>
      <c r="B35" s="16">
        <v>0.39097222222222222</v>
      </c>
      <c r="C35" t="s">
        <v>76</v>
      </c>
      <c r="D35" s="2" t="s">
        <v>143</v>
      </c>
      <c r="E35">
        <v>197</v>
      </c>
      <c r="F35" s="15">
        <f t="shared" si="2"/>
        <v>3.2833333333333332</v>
      </c>
      <c r="G35" t="s">
        <v>142</v>
      </c>
      <c r="H35" t="str">
        <f t="shared" si="3"/>
        <v>Manhã</v>
      </c>
    </row>
    <row r="36" spans="1:8" x14ac:dyDescent="0.25">
      <c r="A36" s="1">
        <v>46028</v>
      </c>
      <c r="B36" s="16">
        <v>0.40486111111111112</v>
      </c>
      <c r="C36" t="s">
        <v>113</v>
      </c>
      <c r="D36" s="2" t="s">
        <v>143</v>
      </c>
      <c r="E36">
        <v>339</v>
      </c>
      <c r="F36" s="15">
        <f t="shared" si="2"/>
        <v>5.65</v>
      </c>
      <c r="G36" t="s">
        <v>142</v>
      </c>
      <c r="H36" t="str">
        <f t="shared" si="3"/>
        <v>Manhã</v>
      </c>
    </row>
    <row r="37" spans="1:8" x14ac:dyDescent="0.25">
      <c r="A37" s="1">
        <v>46028</v>
      </c>
      <c r="B37" s="16">
        <v>0.46319444444444446</v>
      </c>
      <c r="C37" t="s">
        <v>113</v>
      </c>
      <c r="D37" s="2" t="s">
        <v>143</v>
      </c>
      <c r="E37">
        <v>245</v>
      </c>
      <c r="F37" s="15">
        <f t="shared" si="2"/>
        <v>4.083333333333333</v>
      </c>
      <c r="G37" t="s">
        <v>144</v>
      </c>
      <c r="H37" t="str">
        <f t="shared" si="3"/>
        <v>Manhã</v>
      </c>
    </row>
    <row r="38" spans="1:8" x14ac:dyDescent="0.25">
      <c r="A38" s="1">
        <v>46028</v>
      </c>
      <c r="B38" s="16">
        <v>0.67499999999999993</v>
      </c>
      <c r="C38" t="s">
        <v>128</v>
      </c>
      <c r="D38" s="2" t="s">
        <v>141</v>
      </c>
      <c r="E38">
        <v>356</v>
      </c>
      <c r="F38" s="15">
        <f t="shared" si="2"/>
        <v>5.9333333333333336</v>
      </c>
      <c r="G38" t="s">
        <v>144</v>
      </c>
      <c r="H38" t="str">
        <f t="shared" si="3"/>
        <v>Tarde</v>
      </c>
    </row>
    <row r="39" spans="1:8" x14ac:dyDescent="0.25">
      <c r="A39" s="1">
        <v>46028</v>
      </c>
      <c r="B39" s="16">
        <v>0.69027777777777777</v>
      </c>
      <c r="C39" t="s">
        <v>78</v>
      </c>
      <c r="D39" s="2" t="s">
        <v>141</v>
      </c>
      <c r="E39">
        <v>165</v>
      </c>
      <c r="F39" s="15">
        <f t="shared" si="2"/>
        <v>2.75</v>
      </c>
      <c r="G39" t="s">
        <v>142</v>
      </c>
      <c r="H39" t="str">
        <f t="shared" si="3"/>
        <v>Tarde</v>
      </c>
    </row>
    <row r="40" spans="1:8" x14ac:dyDescent="0.25">
      <c r="A40" s="1">
        <v>46028</v>
      </c>
      <c r="B40" s="16">
        <v>0.75069444444444444</v>
      </c>
      <c r="C40" t="s">
        <v>7</v>
      </c>
      <c r="D40" s="2" t="s">
        <v>143</v>
      </c>
      <c r="E40">
        <v>103</v>
      </c>
      <c r="F40" s="15">
        <f t="shared" si="2"/>
        <v>1.7166666666666666</v>
      </c>
      <c r="G40" t="s">
        <v>142</v>
      </c>
      <c r="H40" t="str">
        <f t="shared" si="3"/>
        <v>Noite</v>
      </c>
    </row>
    <row r="41" spans="1:8" x14ac:dyDescent="0.25">
      <c r="A41" s="1">
        <v>46028</v>
      </c>
      <c r="B41" s="16">
        <v>0.76111111111111107</v>
      </c>
      <c r="C41" t="s">
        <v>7</v>
      </c>
      <c r="D41" s="2" t="s">
        <v>143</v>
      </c>
      <c r="E41">
        <v>103</v>
      </c>
      <c r="F41" s="15">
        <f t="shared" si="2"/>
        <v>1.7166666666666666</v>
      </c>
      <c r="G41" t="s">
        <v>142</v>
      </c>
      <c r="H41" t="str">
        <f t="shared" si="3"/>
        <v>Noite</v>
      </c>
    </row>
    <row r="42" spans="1:8" x14ac:dyDescent="0.25">
      <c r="A42" s="1">
        <v>46028</v>
      </c>
      <c r="B42" s="16">
        <v>0.7895833333333333</v>
      </c>
      <c r="C42" t="s">
        <v>7</v>
      </c>
      <c r="D42" s="2" t="s">
        <v>143</v>
      </c>
      <c r="E42">
        <v>103</v>
      </c>
      <c r="F42" s="15">
        <f t="shared" si="2"/>
        <v>1.7166666666666666</v>
      </c>
      <c r="G42" t="s">
        <v>142</v>
      </c>
      <c r="H42" t="str">
        <f t="shared" si="3"/>
        <v>Noite</v>
      </c>
    </row>
    <row r="43" spans="1:8" x14ac:dyDescent="0.25">
      <c r="A43" s="1">
        <v>46028</v>
      </c>
      <c r="B43" s="16">
        <v>0.90625</v>
      </c>
      <c r="C43" t="s">
        <v>86</v>
      </c>
      <c r="D43" s="2" t="s">
        <v>143</v>
      </c>
      <c r="E43">
        <v>179</v>
      </c>
      <c r="F43" s="15">
        <f t="shared" si="2"/>
        <v>2.9833333333333334</v>
      </c>
      <c r="G43" t="s">
        <v>142</v>
      </c>
      <c r="H43" t="str">
        <f t="shared" si="3"/>
        <v>Noite</v>
      </c>
    </row>
    <row r="44" spans="1:8" x14ac:dyDescent="0.25">
      <c r="A44" s="1">
        <v>46028</v>
      </c>
      <c r="B44" s="16">
        <v>0.91527777777777775</v>
      </c>
      <c r="C44" t="s">
        <v>146</v>
      </c>
      <c r="D44" s="2" t="s">
        <v>143</v>
      </c>
      <c r="E44">
        <v>148</v>
      </c>
      <c r="F44" s="15">
        <f t="shared" si="2"/>
        <v>2.4666666666666668</v>
      </c>
      <c r="G44" t="s">
        <v>142</v>
      </c>
      <c r="H44" t="str">
        <f t="shared" si="3"/>
        <v>Noite</v>
      </c>
    </row>
    <row r="45" spans="1:8" x14ac:dyDescent="0.25">
      <c r="A45" s="1">
        <v>46028</v>
      </c>
      <c r="B45" s="16">
        <v>0.92013888888888884</v>
      </c>
      <c r="C45" t="s">
        <v>147</v>
      </c>
      <c r="D45" s="2" t="s">
        <v>143</v>
      </c>
      <c r="E45">
        <v>95</v>
      </c>
      <c r="F45" s="15">
        <f t="shared" si="2"/>
        <v>1.5833333333333333</v>
      </c>
      <c r="G45" t="s">
        <v>144</v>
      </c>
      <c r="H45" t="str">
        <f t="shared" si="3"/>
        <v>Noite</v>
      </c>
    </row>
    <row r="46" spans="1:8" x14ac:dyDescent="0.25">
      <c r="A46" s="1">
        <v>46028</v>
      </c>
      <c r="B46" s="16">
        <v>0.9819444444444444</v>
      </c>
      <c r="C46" t="s">
        <v>83</v>
      </c>
      <c r="D46" s="2" t="s">
        <v>141</v>
      </c>
      <c r="E46">
        <v>210</v>
      </c>
      <c r="F46" s="15">
        <f t="shared" si="2"/>
        <v>3.5</v>
      </c>
      <c r="G46" t="s">
        <v>142</v>
      </c>
      <c r="H46" t="str">
        <f t="shared" si="3"/>
        <v>Noite</v>
      </c>
    </row>
    <row r="47" spans="1:8" x14ac:dyDescent="0.25">
      <c r="A47" s="1">
        <v>46030</v>
      </c>
      <c r="B47" s="16">
        <v>0.50555555555555554</v>
      </c>
      <c r="C47" t="s">
        <v>11</v>
      </c>
      <c r="D47" s="2" t="s">
        <v>141</v>
      </c>
      <c r="E47">
        <v>122</v>
      </c>
      <c r="F47" s="15">
        <f t="shared" si="2"/>
        <v>2.0333333333333332</v>
      </c>
      <c r="G47" t="s">
        <v>144</v>
      </c>
      <c r="H47" t="str">
        <f t="shared" si="3"/>
        <v>Tarde</v>
      </c>
    </row>
    <row r="48" spans="1:8" x14ac:dyDescent="0.25">
      <c r="A48" s="1">
        <v>46030</v>
      </c>
      <c r="B48" s="16">
        <v>0.50902777777777775</v>
      </c>
      <c r="C48" t="s">
        <v>67</v>
      </c>
      <c r="D48" s="2" t="s">
        <v>148</v>
      </c>
      <c r="E48">
        <v>192</v>
      </c>
      <c r="F48" s="15">
        <f t="shared" si="2"/>
        <v>3.2</v>
      </c>
      <c r="G48" t="s">
        <v>142</v>
      </c>
      <c r="H48" t="str">
        <f t="shared" si="3"/>
        <v>Tarde</v>
      </c>
    </row>
    <row r="49" spans="1:8" x14ac:dyDescent="0.25">
      <c r="A49" s="1">
        <v>46030</v>
      </c>
      <c r="B49" s="16">
        <v>0.52361111111111114</v>
      </c>
      <c r="C49" t="s">
        <v>76</v>
      </c>
      <c r="D49" s="2" t="s">
        <v>148</v>
      </c>
      <c r="E49">
        <v>123</v>
      </c>
      <c r="F49" s="15">
        <f t="shared" si="2"/>
        <v>2.0499999999999998</v>
      </c>
      <c r="G49" t="s">
        <v>144</v>
      </c>
      <c r="H49" t="str">
        <f t="shared" si="3"/>
        <v>Tarde</v>
      </c>
    </row>
    <row r="50" spans="1:8" x14ac:dyDescent="0.25">
      <c r="A50" s="1">
        <v>46030</v>
      </c>
      <c r="B50" s="16">
        <v>0.60833333333333328</v>
      </c>
      <c r="C50" t="s">
        <v>55</v>
      </c>
      <c r="D50" s="2" t="s">
        <v>148</v>
      </c>
      <c r="E50">
        <v>163</v>
      </c>
      <c r="F50" s="15">
        <f t="shared" si="2"/>
        <v>2.7166666666666668</v>
      </c>
      <c r="G50" t="s">
        <v>142</v>
      </c>
      <c r="H50" t="str">
        <f t="shared" si="3"/>
        <v>Tarde</v>
      </c>
    </row>
    <row r="51" spans="1:8" x14ac:dyDescent="0.25">
      <c r="A51" s="1">
        <v>46030</v>
      </c>
      <c r="B51" s="16">
        <v>0.61458333333333337</v>
      </c>
      <c r="C51" t="s">
        <v>11</v>
      </c>
      <c r="D51" s="2" t="s">
        <v>148</v>
      </c>
      <c r="E51">
        <v>165</v>
      </c>
      <c r="F51" s="15">
        <f t="shared" si="2"/>
        <v>2.75</v>
      </c>
      <c r="G51" t="s">
        <v>144</v>
      </c>
      <c r="H51" t="str">
        <f t="shared" si="3"/>
        <v>Tarde</v>
      </c>
    </row>
    <row r="52" spans="1:8" x14ac:dyDescent="0.25">
      <c r="A52" s="1">
        <v>46030</v>
      </c>
      <c r="B52" s="16">
        <v>0.6166666666666667</v>
      </c>
      <c r="C52" t="s">
        <v>86</v>
      </c>
      <c r="D52" s="2" t="s">
        <v>148</v>
      </c>
      <c r="E52">
        <v>179</v>
      </c>
      <c r="F52" s="15">
        <f t="shared" si="2"/>
        <v>2.9833333333333334</v>
      </c>
      <c r="G52" t="s">
        <v>142</v>
      </c>
      <c r="H52" t="str">
        <f t="shared" si="3"/>
        <v>Tarde</v>
      </c>
    </row>
    <row r="53" spans="1:8" x14ac:dyDescent="0.25">
      <c r="A53" s="1">
        <v>46030</v>
      </c>
      <c r="B53" s="16">
        <v>0.75624999999999998</v>
      </c>
      <c r="C53" t="s">
        <v>30</v>
      </c>
      <c r="D53" s="2" t="s">
        <v>148</v>
      </c>
      <c r="E53">
        <v>100</v>
      </c>
      <c r="F53" s="15">
        <f t="shared" si="2"/>
        <v>1.6666666666666667</v>
      </c>
      <c r="G53" t="s">
        <v>144</v>
      </c>
      <c r="H53" t="str">
        <f t="shared" si="3"/>
        <v>Noite</v>
      </c>
    </row>
    <row r="54" spans="1:8" x14ac:dyDescent="0.25">
      <c r="A54" s="1">
        <v>46030</v>
      </c>
      <c r="B54" s="16">
        <v>0.78125</v>
      </c>
      <c r="C54" t="s">
        <v>67</v>
      </c>
      <c r="D54" s="2" t="s">
        <v>148</v>
      </c>
      <c r="E54">
        <v>192</v>
      </c>
      <c r="F54" s="15">
        <f t="shared" si="2"/>
        <v>3.2</v>
      </c>
      <c r="G54" t="s">
        <v>142</v>
      </c>
      <c r="H54" t="str">
        <f t="shared" si="3"/>
        <v>Noite</v>
      </c>
    </row>
    <row r="55" spans="1:8" x14ac:dyDescent="0.25">
      <c r="A55" s="1">
        <v>46032</v>
      </c>
      <c r="B55" s="16">
        <v>0.94027777777777777</v>
      </c>
      <c r="C55" t="s">
        <v>67</v>
      </c>
      <c r="D55" s="2" t="s">
        <v>148</v>
      </c>
      <c r="E55">
        <v>192</v>
      </c>
      <c r="F55" s="15">
        <f t="shared" si="2"/>
        <v>3.2</v>
      </c>
      <c r="G55" t="s">
        <v>142</v>
      </c>
      <c r="H55" t="str">
        <f t="shared" si="3"/>
        <v>Noite</v>
      </c>
    </row>
    <row r="56" spans="1:8" x14ac:dyDescent="0.25">
      <c r="A56" s="1">
        <v>46032</v>
      </c>
      <c r="B56" s="16">
        <v>0.94236111111111109</v>
      </c>
      <c r="C56" t="s">
        <v>78</v>
      </c>
      <c r="D56" s="2" t="s">
        <v>141</v>
      </c>
      <c r="E56">
        <v>165</v>
      </c>
      <c r="F56" s="15">
        <f t="shared" si="2"/>
        <v>2.75</v>
      </c>
      <c r="G56" t="s">
        <v>142</v>
      </c>
      <c r="H56" t="str">
        <f t="shared" si="3"/>
        <v>Noite</v>
      </c>
    </row>
    <row r="57" spans="1:8" x14ac:dyDescent="0.25">
      <c r="A57" s="1">
        <v>46032</v>
      </c>
      <c r="B57" s="16">
        <v>0.94791666666666663</v>
      </c>
      <c r="C57" t="s">
        <v>131</v>
      </c>
      <c r="D57" s="2" t="s">
        <v>141</v>
      </c>
      <c r="E57">
        <v>100</v>
      </c>
      <c r="F57" s="15">
        <f t="shared" si="2"/>
        <v>1.6666666666666667</v>
      </c>
      <c r="G57" t="s">
        <v>144</v>
      </c>
      <c r="H57" t="str">
        <f t="shared" si="3"/>
        <v>Noite</v>
      </c>
    </row>
    <row r="58" spans="1:8" x14ac:dyDescent="0.25">
      <c r="A58" s="1">
        <v>46032</v>
      </c>
      <c r="B58" s="16">
        <v>0.9604166666666667</v>
      </c>
      <c r="C58" t="s">
        <v>55</v>
      </c>
      <c r="D58" s="2" t="s">
        <v>143</v>
      </c>
      <c r="E58">
        <v>160</v>
      </c>
      <c r="F58" s="15">
        <f t="shared" si="2"/>
        <v>2.6666666666666665</v>
      </c>
      <c r="G58" t="s">
        <v>144</v>
      </c>
      <c r="H58" t="str">
        <f t="shared" si="3"/>
        <v>Noite</v>
      </c>
    </row>
    <row r="59" spans="1:8" x14ac:dyDescent="0.25">
      <c r="A59" s="1">
        <v>46032</v>
      </c>
      <c r="B59" s="16">
        <v>0.96875</v>
      </c>
      <c r="C59" t="s">
        <v>18</v>
      </c>
      <c r="D59" s="2" t="s">
        <v>143</v>
      </c>
      <c r="E59">
        <v>219</v>
      </c>
      <c r="F59" s="15">
        <f t="shared" si="2"/>
        <v>3.65</v>
      </c>
      <c r="G59" t="s">
        <v>142</v>
      </c>
      <c r="H59" t="str">
        <f t="shared" si="3"/>
        <v>Noite</v>
      </c>
    </row>
    <row r="60" spans="1:8" x14ac:dyDescent="0.25">
      <c r="A60" s="1">
        <v>46032</v>
      </c>
      <c r="B60" s="16">
        <v>0.99583333333333324</v>
      </c>
      <c r="C60" t="s">
        <v>18</v>
      </c>
      <c r="D60" s="2" t="s">
        <v>148</v>
      </c>
      <c r="E60">
        <v>219</v>
      </c>
      <c r="F60" s="15">
        <f t="shared" si="2"/>
        <v>3.65</v>
      </c>
      <c r="G60" t="s">
        <v>142</v>
      </c>
      <c r="H60" t="str">
        <f t="shared" si="3"/>
        <v>Noite</v>
      </c>
    </row>
    <row r="61" spans="1:8" x14ac:dyDescent="0.25">
      <c r="A61" s="1">
        <v>46032</v>
      </c>
      <c r="B61" s="16">
        <v>0.99930555555555556</v>
      </c>
      <c r="C61" t="s">
        <v>7</v>
      </c>
      <c r="D61" s="2" t="s">
        <v>148</v>
      </c>
      <c r="E61">
        <v>103</v>
      </c>
      <c r="F61" s="15">
        <f t="shared" si="2"/>
        <v>1.7166666666666666</v>
      </c>
      <c r="G61" t="s">
        <v>142</v>
      </c>
      <c r="H61" t="str">
        <f t="shared" si="3"/>
        <v>Noite</v>
      </c>
    </row>
    <row r="62" spans="1:8" x14ac:dyDescent="0.25">
      <c r="A62" s="1">
        <v>46033</v>
      </c>
      <c r="B62" s="16">
        <v>0.59930555555555554</v>
      </c>
      <c r="C62" t="s">
        <v>7</v>
      </c>
      <c r="D62" t="s">
        <v>141</v>
      </c>
      <c r="E62">
        <v>27</v>
      </c>
      <c r="F62" s="15">
        <f t="shared" si="2"/>
        <v>0.45</v>
      </c>
      <c r="G62" t="s">
        <v>144</v>
      </c>
      <c r="H62" t="str">
        <f t="shared" si="3"/>
        <v>Tarde</v>
      </c>
    </row>
    <row r="63" spans="1:8" x14ac:dyDescent="0.25">
      <c r="A63" s="1">
        <v>46033</v>
      </c>
      <c r="B63" s="16">
        <v>0.61458333333333337</v>
      </c>
      <c r="C63" t="s">
        <v>78</v>
      </c>
      <c r="D63" t="s">
        <v>141</v>
      </c>
      <c r="E63">
        <v>165</v>
      </c>
      <c r="F63" s="15">
        <f t="shared" si="2"/>
        <v>2.75</v>
      </c>
      <c r="G63" t="s">
        <v>142</v>
      </c>
      <c r="H63" t="str">
        <f t="shared" si="3"/>
        <v>Tarde</v>
      </c>
    </row>
    <row r="64" spans="1:8" x14ac:dyDescent="0.25">
      <c r="A64" s="1">
        <v>46034</v>
      </c>
      <c r="B64" s="16">
        <v>0.22430555555555556</v>
      </c>
      <c r="C64" t="s">
        <v>78</v>
      </c>
      <c r="D64" t="s">
        <v>141</v>
      </c>
      <c r="E64">
        <v>165</v>
      </c>
      <c r="F64" s="15">
        <f t="shared" si="2"/>
        <v>2.75</v>
      </c>
      <c r="G64" t="s">
        <v>142</v>
      </c>
      <c r="H64" t="str">
        <f t="shared" si="3"/>
        <v>Madrugada</v>
      </c>
    </row>
    <row r="65" spans="1:8" x14ac:dyDescent="0.25">
      <c r="A65" s="1">
        <v>46034</v>
      </c>
      <c r="B65" s="16">
        <v>0.25833333333333336</v>
      </c>
      <c r="C65" t="s">
        <v>78</v>
      </c>
      <c r="D65" t="s">
        <v>141</v>
      </c>
      <c r="E65">
        <v>165</v>
      </c>
      <c r="F65" s="15">
        <f t="shared" si="2"/>
        <v>2.75</v>
      </c>
      <c r="G65" t="s">
        <v>142</v>
      </c>
      <c r="H65" t="str">
        <f t="shared" si="3"/>
        <v>Manhã</v>
      </c>
    </row>
    <row r="66" spans="1:8" x14ac:dyDescent="0.25">
      <c r="A66" s="1">
        <v>46034</v>
      </c>
      <c r="B66" s="16">
        <v>0.26041666666666669</v>
      </c>
      <c r="C66" t="s">
        <v>78</v>
      </c>
      <c r="D66" t="s">
        <v>141</v>
      </c>
      <c r="E66">
        <v>165</v>
      </c>
      <c r="F66" s="15">
        <f t="shared" ref="F66:F97" si="4">E66/60</f>
        <v>2.75</v>
      </c>
      <c r="G66" t="s">
        <v>142</v>
      </c>
      <c r="H66" t="str">
        <f t="shared" ref="H66:H97" si="5">IF(HOUR(B66)&lt;6,"Madrugada",IF(HOUR(B66)&lt;12,"Manhã",IF(HOUR(B66)&lt;18,"Tarde","Noite")))</f>
        <v>Manhã</v>
      </c>
    </row>
    <row r="67" spans="1:8" x14ac:dyDescent="0.25">
      <c r="A67" s="1">
        <v>46034</v>
      </c>
      <c r="B67" s="16">
        <v>0.26250000000000001</v>
      </c>
      <c r="C67" t="s">
        <v>78</v>
      </c>
      <c r="D67" t="s">
        <v>141</v>
      </c>
      <c r="E67">
        <v>165</v>
      </c>
      <c r="F67" s="15">
        <f t="shared" si="4"/>
        <v>2.75</v>
      </c>
      <c r="G67" t="s">
        <v>142</v>
      </c>
      <c r="H67" t="str">
        <f t="shared" si="5"/>
        <v>Manhã</v>
      </c>
    </row>
    <row r="68" spans="1:8" x14ac:dyDescent="0.25">
      <c r="A68" s="1">
        <v>46034</v>
      </c>
      <c r="B68" s="16">
        <v>0.26597222222222222</v>
      </c>
      <c r="C68" t="s">
        <v>55</v>
      </c>
      <c r="D68" t="s">
        <v>148</v>
      </c>
      <c r="E68">
        <v>145</v>
      </c>
      <c r="F68" s="15">
        <f t="shared" si="4"/>
        <v>2.4166666666666665</v>
      </c>
      <c r="G68" t="s">
        <v>144</v>
      </c>
      <c r="H68" t="str">
        <f t="shared" si="5"/>
        <v>Manhã</v>
      </c>
    </row>
    <row r="69" spans="1:8" x14ac:dyDescent="0.25">
      <c r="A69" s="1">
        <v>46036</v>
      </c>
      <c r="B69" s="16">
        <v>0.43263888888888885</v>
      </c>
      <c r="C69" t="s">
        <v>123</v>
      </c>
      <c r="D69" t="s">
        <v>148</v>
      </c>
      <c r="E69">
        <v>573</v>
      </c>
      <c r="F69" s="15">
        <f t="shared" si="4"/>
        <v>9.5500000000000007</v>
      </c>
      <c r="G69" t="s">
        <v>142</v>
      </c>
      <c r="H69" t="str">
        <f t="shared" si="5"/>
        <v>Manhã</v>
      </c>
    </row>
    <row r="70" spans="1:8" x14ac:dyDescent="0.25">
      <c r="A70" s="1">
        <v>46036</v>
      </c>
      <c r="B70" s="16">
        <v>0.44791666666666669</v>
      </c>
      <c r="C70" t="s">
        <v>100</v>
      </c>
      <c r="D70" t="s">
        <v>148</v>
      </c>
      <c r="E70">
        <v>155</v>
      </c>
      <c r="F70" s="15">
        <f t="shared" si="4"/>
        <v>2.5833333333333335</v>
      </c>
      <c r="G70" t="s">
        <v>145</v>
      </c>
      <c r="H70" t="str">
        <f t="shared" si="5"/>
        <v>Manhã</v>
      </c>
    </row>
    <row r="71" spans="1:8" x14ac:dyDescent="0.25">
      <c r="A71" s="1">
        <v>46036</v>
      </c>
      <c r="B71" s="16">
        <v>0.47430555555555554</v>
      </c>
      <c r="C71" t="s">
        <v>100</v>
      </c>
      <c r="D71" t="s">
        <v>141</v>
      </c>
      <c r="E71">
        <v>123</v>
      </c>
      <c r="F71" s="15">
        <f t="shared" si="4"/>
        <v>2.0499999999999998</v>
      </c>
      <c r="G71" t="s">
        <v>149</v>
      </c>
      <c r="H71" t="str">
        <f t="shared" si="5"/>
        <v>Manhã</v>
      </c>
    </row>
    <row r="72" spans="1:8" x14ac:dyDescent="0.25">
      <c r="A72" s="1">
        <v>46036</v>
      </c>
      <c r="B72" s="16">
        <v>0.64374999999999993</v>
      </c>
      <c r="C72" t="s">
        <v>105</v>
      </c>
      <c r="D72" t="s">
        <v>143</v>
      </c>
      <c r="E72">
        <v>159</v>
      </c>
      <c r="F72" s="15">
        <f t="shared" si="4"/>
        <v>2.65</v>
      </c>
      <c r="G72" t="s">
        <v>142</v>
      </c>
      <c r="H72" t="str">
        <f t="shared" si="5"/>
        <v>Tarde</v>
      </c>
    </row>
    <row r="73" spans="1:8" x14ac:dyDescent="0.25">
      <c r="A73" s="1">
        <v>46036</v>
      </c>
      <c r="B73" s="16">
        <v>0.65416666666666667</v>
      </c>
      <c r="C73" t="s">
        <v>11</v>
      </c>
      <c r="D73" t="s">
        <v>143</v>
      </c>
      <c r="E73">
        <v>172</v>
      </c>
      <c r="F73" s="15">
        <f t="shared" si="4"/>
        <v>2.8666666666666667</v>
      </c>
      <c r="G73" t="s">
        <v>142</v>
      </c>
      <c r="H73" t="str">
        <f t="shared" si="5"/>
        <v>Tarde</v>
      </c>
    </row>
    <row r="74" spans="1:8" x14ac:dyDescent="0.25">
      <c r="A74" s="1">
        <v>46036</v>
      </c>
      <c r="B74" s="16">
        <v>0.71111111111111114</v>
      </c>
      <c r="C74" t="s">
        <v>11</v>
      </c>
      <c r="D74" t="s">
        <v>143</v>
      </c>
      <c r="E74">
        <v>134</v>
      </c>
      <c r="F74" s="15">
        <f t="shared" si="4"/>
        <v>2.2333333333333334</v>
      </c>
      <c r="G74" t="s">
        <v>144</v>
      </c>
      <c r="H74" t="str">
        <f t="shared" si="5"/>
        <v>Tarde</v>
      </c>
    </row>
    <row r="75" spans="1:8" x14ac:dyDescent="0.25">
      <c r="A75" s="1">
        <v>46036</v>
      </c>
      <c r="B75" s="16">
        <v>0.72013888888888899</v>
      </c>
      <c r="C75" t="s">
        <v>105</v>
      </c>
      <c r="D75" t="s">
        <v>141</v>
      </c>
      <c r="E75">
        <v>159</v>
      </c>
      <c r="F75" s="15">
        <f t="shared" si="4"/>
        <v>2.65</v>
      </c>
      <c r="G75" t="s">
        <v>145</v>
      </c>
      <c r="H75" t="str">
        <f t="shared" si="5"/>
        <v>Tarde</v>
      </c>
    </row>
    <row r="76" spans="1:8" x14ac:dyDescent="0.25">
      <c r="A76" s="1">
        <v>46036</v>
      </c>
      <c r="B76" s="16">
        <v>0.74861111111111101</v>
      </c>
      <c r="C76" t="s">
        <v>105</v>
      </c>
      <c r="D76" t="s">
        <v>141</v>
      </c>
      <c r="E76">
        <v>159</v>
      </c>
      <c r="F76" s="15">
        <f t="shared" si="4"/>
        <v>2.65</v>
      </c>
      <c r="G76" t="s">
        <v>145</v>
      </c>
      <c r="H76" t="str">
        <f t="shared" si="5"/>
        <v>Tarde</v>
      </c>
    </row>
    <row r="77" spans="1:8" x14ac:dyDescent="0.25">
      <c r="A77" s="1">
        <v>46036</v>
      </c>
      <c r="B77" s="16">
        <v>0.93611111111111101</v>
      </c>
      <c r="C77" t="s">
        <v>35</v>
      </c>
      <c r="D77" t="s">
        <v>141</v>
      </c>
      <c r="E77">
        <v>167</v>
      </c>
      <c r="F77" s="15">
        <f t="shared" si="4"/>
        <v>2.7833333333333332</v>
      </c>
      <c r="G77" t="s">
        <v>142</v>
      </c>
      <c r="H77" t="str">
        <f t="shared" si="5"/>
        <v>Noite</v>
      </c>
    </row>
    <row r="78" spans="1:8" x14ac:dyDescent="0.25">
      <c r="A78" s="1">
        <v>46037</v>
      </c>
      <c r="B78" s="16">
        <v>0.79791666666666661</v>
      </c>
      <c r="C78" t="s">
        <v>40</v>
      </c>
      <c r="D78" t="s">
        <v>148</v>
      </c>
      <c r="E78">
        <v>134</v>
      </c>
      <c r="F78" s="15">
        <f t="shared" si="4"/>
        <v>2.2333333333333334</v>
      </c>
      <c r="G78" t="s">
        <v>144</v>
      </c>
      <c r="H78" t="str">
        <f t="shared" si="5"/>
        <v>Noite</v>
      </c>
    </row>
    <row r="79" spans="1:8" x14ac:dyDescent="0.25">
      <c r="A79" s="1">
        <v>46037</v>
      </c>
      <c r="B79" s="16">
        <v>0.84861111111111109</v>
      </c>
      <c r="C79" t="s">
        <v>45</v>
      </c>
      <c r="D79" t="s">
        <v>148</v>
      </c>
      <c r="E79">
        <v>170</v>
      </c>
      <c r="F79" s="15">
        <f t="shared" si="4"/>
        <v>2.8333333333333335</v>
      </c>
      <c r="G79" t="s">
        <v>142</v>
      </c>
      <c r="H79" t="str">
        <f t="shared" si="5"/>
        <v>Noite</v>
      </c>
    </row>
    <row r="80" spans="1:8" x14ac:dyDescent="0.25">
      <c r="A80" s="1">
        <v>46039</v>
      </c>
      <c r="B80" s="16">
        <v>0.5180555555555556</v>
      </c>
      <c r="C80" t="s">
        <v>83</v>
      </c>
      <c r="D80" t="s">
        <v>143</v>
      </c>
      <c r="E80">
        <v>178</v>
      </c>
      <c r="F80" s="15">
        <f t="shared" si="4"/>
        <v>2.9666666666666668</v>
      </c>
      <c r="G80" t="s">
        <v>142</v>
      </c>
      <c r="H80" t="str">
        <f t="shared" si="5"/>
        <v>Tarde</v>
      </c>
    </row>
    <row r="81" spans="1:8" x14ac:dyDescent="0.25">
      <c r="A81" s="1">
        <v>46039</v>
      </c>
      <c r="B81" s="16">
        <v>0.52083333333333337</v>
      </c>
      <c r="C81" t="s">
        <v>22</v>
      </c>
      <c r="D81" t="s">
        <v>143</v>
      </c>
      <c r="E81">
        <v>149</v>
      </c>
      <c r="F81" s="15">
        <f t="shared" si="4"/>
        <v>2.4833333333333334</v>
      </c>
      <c r="G81" t="s">
        <v>149</v>
      </c>
      <c r="H81" t="str">
        <f t="shared" si="5"/>
        <v>Tarde</v>
      </c>
    </row>
    <row r="82" spans="1:8" x14ac:dyDescent="0.25">
      <c r="A82" s="1">
        <v>46039</v>
      </c>
      <c r="B82" s="16">
        <v>0.55486111111111114</v>
      </c>
      <c r="C82" t="s">
        <v>35</v>
      </c>
      <c r="D82" t="s">
        <v>143</v>
      </c>
      <c r="E82">
        <v>122</v>
      </c>
      <c r="F82" s="15">
        <f t="shared" si="4"/>
        <v>2.0333333333333332</v>
      </c>
      <c r="G82" t="s">
        <v>149</v>
      </c>
      <c r="H82" t="str">
        <f t="shared" si="5"/>
        <v>Tarde</v>
      </c>
    </row>
    <row r="83" spans="1:8" x14ac:dyDescent="0.25">
      <c r="A83" s="1">
        <v>46040</v>
      </c>
      <c r="B83" s="16">
        <v>0.23194444444444443</v>
      </c>
      <c r="C83" t="s">
        <v>55</v>
      </c>
      <c r="D83" t="s">
        <v>141</v>
      </c>
      <c r="E83">
        <v>156</v>
      </c>
      <c r="F83" s="15">
        <f t="shared" si="4"/>
        <v>2.6</v>
      </c>
      <c r="G83" t="s">
        <v>144</v>
      </c>
      <c r="H83" t="str">
        <f t="shared" si="5"/>
        <v>Madrugada</v>
      </c>
    </row>
    <row r="84" spans="1:8" x14ac:dyDescent="0.25">
      <c r="A84" s="1">
        <v>46040</v>
      </c>
      <c r="B84" s="16">
        <v>0.23472222222222219</v>
      </c>
      <c r="C84" t="s">
        <v>15</v>
      </c>
      <c r="D84" t="s">
        <v>141</v>
      </c>
      <c r="E84">
        <v>100</v>
      </c>
      <c r="F84" s="15">
        <f t="shared" si="4"/>
        <v>1.6666666666666667</v>
      </c>
      <c r="G84" t="s">
        <v>149</v>
      </c>
      <c r="H84" t="str">
        <f t="shared" si="5"/>
        <v>Madrugada</v>
      </c>
    </row>
    <row r="85" spans="1:8" x14ac:dyDescent="0.25">
      <c r="A85" s="1">
        <v>46040</v>
      </c>
      <c r="B85" s="16">
        <v>0.29583333333333334</v>
      </c>
      <c r="C85" t="s">
        <v>61</v>
      </c>
      <c r="D85" t="s">
        <v>141</v>
      </c>
      <c r="E85">
        <v>201</v>
      </c>
      <c r="F85" s="15">
        <f t="shared" si="4"/>
        <v>3.35</v>
      </c>
      <c r="G85" t="s">
        <v>142</v>
      </c>
      <c r="H85" t="str">
        <f t="shared" si="5"/>
        <v>Manhã</v>
      </c>
    </row>
    <row r="86" spans="1:8" x14ac:dyDescent="0.25">
      <c r="A86" s="1">
        <v>46040</v>
      </c>
      <c r="B86" s="16">
        <v>0.31597222222222221</v>
      </c>
      <c r="C86" t="s">
        <v>45</v>
      </c>
      <c r="D86" t="s">
        <v>141</v>
      </c>
      <c r="E86">
        <v>170</v>
      </c>
      <c r="F86" s="15">
        <f t="shared" si="4"/>
        <v>2.8333333333333335</v>
      </c>
      <c r="G86" t="s">
        <v>145</v>
      </c>
      <c r="H86" t="str">
        <f t="shared" si="5"/>
        <v>Manhã</v>
      </c>
    </row>
    <row r="87" spans="1:8" x14ac:dyDescent="0.25">
      <c r="A87" s="1">
        <v>46040</v>
      </c>
      <c r="B87" s="16">
        <v>0.40625</v>
      </c>
      <c r="C87" t="s">
        <v>92</v>
      </c>
      <c r="D87" t="s">
        <v>141</v>
      </c>
      <c r="E87">
        <v>154</v>
      </c>
      <c r="F87" s="15">
        <f t="shared" si="4"/>
        <v>2.5666666666666669</v>
      </c>
      <c r="G87" t="s">
        <v>149</v>
      </c>
      <c r="H87" t="str">
        <f t="shared" si="5"/>
        <v>Manhã</v>
      </c>
    </row>
    <row r="88" spans="1:8" x14ac:dyDescent="0.25">
      <c r="A88" s="1">
        <v>46040</v>
      </c>
      <c r="B88" s="16">
        <v>0.43958333333333338</v>
      </c>
      <c r="C88" t="s">
        <v>50</v>
      </c>
      <c r="D88" t="s">
        <v>141</v>
      </c>
      <c r="E88">
        <v>180</v>
      </c>
      <c r="F88" s="15">
        <f t="shared" si="4"/>
        <v>3</v>
      </c>
      <c r="G88" t="s">
        <v>145</v>
      </c>
      <c r="H88" t="str">
        <f t="shared" si="5"/>
        <v>Manhã</v>
      </c>
    </row>
    <row r="89" spans="1:8" x14ac:dyDescent="0.25">
      <c r="A89" s="1">
        <v>46040</v>
      </c>
      <c r="B89" s="16">
        <v>0.44375000000000003</v>
      </c>
      <c r="C89" t="s">
        <v>102</v>
      </c>
      <c r="D89" t="s">
        <v>141</v>
      </c>
      <c r="E89">
        <v>134</v>
      </c>
      <c r="F89" s="15">
        <f t="shared" si="4"/>
        <v>2.2333333333333334</v>
      </c>
      <c r="G89" t="s">
        <v>149</v>
      </c>
      <c r="H89" t="str">
        <f t="shared" si="5"/>
        <v>Manhã</v>
      </c>
    </row>
    <row r="90" spans="1:8" x14ac:dyDescent="0.25">
      <c r="A90" s="1">
        <v>46041</v>
      </c>
      <c r="B90" s="16">
        <v>0.625</v>
      </c>
      <c r="C90" t="s">
        <v>55</v>
      </c>
      <c r="D90" t="s">
        <v>148</v>
      </c>
      <c r="E90">
        <v>163</v>
      </c>
      <c r="F90" s="15">
        <f t="shared" si="4"/>
        <v>2.7166666666666668</v>
      </c>
      <c r="G90" t="s">
        <v>145</v>
      </c>
      <c r="H90" t="str">
        <f t="shared" si="5"/>
        <v>Tarde</v>
      </c>
    </row>
    <row r="91" spans="1:8" x14ac:dyDescent="0.25">
      <c r="A91" s="1">
        <v>46041</v>
      </c>
      <c r="B91" s="16">
        <v>0.62777777777777777</v>
      </c>
      <c r="C91" t="s">
        <v>105</v>
      </c>
      <c r="D91" t="s">
        <v>148</v>
      </c>
      <c r="E91">
        <v>159</v>
      </c>
      <c r="F91" s="15">
        <f t="shared" si="4"/>
        <v>2.65</v>
      </c>
      <c r="G91" t="s">
        <v>145</v>
      </c>
      <c r="H91" t="str">
        <f t="shared" si="5"/>
        <v>Tarde</v>
      </c>
    </row>
    <row r="92" spans="1:8" x14ac:dyDescent="0.25">
      <c r="A92" s="1">
        <v>46042</v>
      </c>
      <c r="B92" s="16">
        <v>0.2951388888888889</v>
      </c>
      <c r="C92" t="s">
        <v>59</v>
      </c>
      <c r="D92" t="s">
        <v>141</v>
      </c>
      <c r="E92">
        <v>16</v>
      </c>
      <c r="F92" s="15">
        <f t="shared" si="4"/>
        <v>0.26666666666666666</v>
      </c>
      <c r="G92" t="s">
        <v>149</v>
      </c>
      <c r="H92" t="str">
        <f t="shared" si="5"/>
        <v>Manhã</v>
      </c>
    </row>
    <row r="93" spans="1:8" x14ac:dyDescent="0.25">
      <c r="A93" s="1">
        <v>46042</v>
      </c>
      <c r="B93" s="16">
        <v>0.29652777777777778</v>
      </c>
      <c r="C93" t="s">
        <v>83</v>
      </c>
      <c r="D93" t="s">
        <v>141</v>
      </c>
      <c r="E93">
        <v>178</v>
      </c>
      <c r="F93" s="15">
        <f t="shared" si="4"/>
        <v>2.9666666666666668</v>
      </c>
      <c r="G93" t="s">
        <v>145</v>
      </c>
      <c r="H93" t="str">
        <f t="shared" si="5"/>
        <v>Manhã</v>
      </c>
    </row>
    <row r="94" spans="1:8" x14ac:dyDescent="0.25">
      <c r="A94" s="1">
        <v>46042</v>
      </c>
      <c r="B94" s="16">
        <v>0.3</v>
      </c>
      <c r="C94" t="s">
        <v>45</v>
      </c>
      <c r="D94" t="s">
        <v>141</v>
      </c>
      <c r="E94">
        <v>170</v>
      </c>
      <c r="F94" s="15">
        <f t="shared" si="4"/>
        <v>2.8333333333333335</v>
      </c>
      <c r="G94" t="s">
        <v>142</v>
      </c>
      <c r="H94" t="str">
        <f t="shared" si="5"/>
        <v>Manhã</v>
      </c>
    </row>
    <row r="95" spans="1:8" x14ac:dyDescent="0.25">
      <c r="A95" s="1">
        <v>46042</v>
      </c>
      <c r="B95" s="16">
        <v>0.37152777777777773</v>
      </c>
      <c r="C95" t="s">
        <v>45</v>
      </c>
      <c r="D95" t="s">
        <v>141</v>
      </c>
      <c r="E95">
        <v>170</v>
      </c>
      <c r="F95" s="15">
        <f t="shared" si="4"/>
        <v>2.8333333333333335</v>
      </c>
      <c r="G95" t="s">
        <v>142</v>
      </c>
      <c r="H95" t="str">
        <f t="shared" si="5"/>
        <v>Manhã</v>
      </c>
    </row>
    <row r="96" spans="1:8" x14ac:dyDescent="0.25">
      <c r="A96" s="1">
        <v>46042</v>
      </c>
      <c r="B96" s="16">
        <v>0.40416666666666662</v>
      </c>
      <c r="C96" t="s">
        <v>40</v>
      </c>
      <c r="D96" t="s">
        <v>141</v>
      </c>
      <c r="E96">
        <v>213</v>
      </c>
      <c r="F96" s="15">
        <f t="shared" si="4"/>
        <v>3.55</v>
      </c>
      <c r="G96" t="s">
        <v>144</v>
      </c>
      <c r="H96" t="str">
        <f t="shared" si="5"/>
        <v>Manhã</v>
      </c>
    </row>
    <row r="97" spans="1:8" x14ac:dyDescent="0.25">
      <c r="A97" s="1">
        <v>46042</v>
      </c>
      <c r="B97" s="16">
        <v>0.40972222222222227</v>
      </c>
      <c r="C97" t="s">
        <v>125</v>
      </c>
      <c r="D97" t="s">
        <v>141</v>
      </c>
      <c r="E97">
        <v>194</v>
      </c>
      <c r="F97" s="15">
        <f t="shared" si="4"/>
        <v>3.2333333333333334</v>
      </c>
      <c r="G97" t="s">
        <v>142</v>
      </c>
      <c r="H97" t="str">
        <f t="shared" si="5"/>
        <v>Manhã</v>
      </c>
    </row>
    <row r="98" spans="1:8" x14ac:dyDescent="0.25">
      <c r="A98" s="1">
        <v>46042</v>
      </c>
      <c r="B98" s="16">
        <v>0.4680555555555555</v>
      </c>
      <c r="C98" t="s">
        <v>40</v>
      </c>
      <c r="D98" t="s">
        <v>141</v>
      </c>
      <c r="E98">
        <v>122</v>
      </c>
      <c r="F98" s="15">
        <f t="shared" ref="F98:F129" si="6">E98/60</f>
        <v>2.0333333333333332</v>
      </c>
      <c r="G98" t="s">
        <v>149</v>
      </c>
      <c r="H98" t="str">
        <f t="shared" ref="H98:H129" si="7">IF(HOUR(B98)&lt;6,"Madrugada",IF(HOUR(B98)&lt;12,"Manhã",IF(HOUR(B98)&lt;18,"Tarde","Noite")))</f>
        <v>Manhã</v>
      </c>
    </row>
    <row r="99" spans="1:8" x14ac:dyDescent="0.25">
      <c r="A99" s="1">
        <v>46042</v>
      </c>
      <c r="B99" s="16">
        <v>0.48749999999999999</v>
      </c>
      <c r="C99" t="s">
        <v>18</v>
      </c>
      <c r="D99" t="s">
        <v>141</v>
      </c>
      <c r="E99">
        <v>219</v>
      </c>
      <c r="F99" s="15">
        <f t="shared" si="6"/>
        <v>3.65</v>
      </c>
      <c r="G99" t="s">
        <v>142</v>
      </c>
      <c r="H99" t="str">
        <f t="shared" si="7"/>
        <v>Manhã</v>
      </c>
    </row>
    <row r="100" spans="1:8" x14ac:dyDescent="0.25">
      <c r="A100" s="1">
        <v>46042</v>
      </c>
      <c r="B100" s="16">
        <v>0.93888888888888899</v>
      </c>
      <c r="C100" t="s">
        <v>86</v>
      </c>
      <c r="D100" t="s">
        <v>141</v>
      </c>
      <c r="E100">
        <v>112</v>
      </c>
      <c r="F100" s="15">
        <f t="shared" si="6"/>
        <v>1.8666666666666667</v>
      </c>
      <c r="G100" t="s">
        <v>149</v>
      </c>
      <c r="H100" t="str">
        <f t="shared" si="7"/>
        <v>Noite</v>
      </c>
    </row>
    <row r="101" spans="1:8" x14ac:dyDescent="0.25">
      <c r="A101" s="1">
        <v>46042</v>
      </c>
      <c r="B101" s="16">
        <v>0.94791666666666663</v>
      </c>
      <c r="C101" t="s">
        <v>15</v>
      </c>
      <c r="D101" t="s">
        <v>141</v>
      </c>
      <c r="E101">
        <v>67</v>
      </c>
      <c r="F101" s="15">
        <f t="shared" si="6"/>
        <v>1.1166666666666667</v>
      </c>
      <c r="G101" t="s">
        <v>149</v>
      </c>
      <c r="H101" t="str">
        <f t="shared" si="7"/>
        <v>Noite</v>
      </c>
    </row>
    <row r="102" spans="1:8" x14ac:dyDescent="0.25">
      <c r="A102" s="1">
        <v>46042</v>
      </c>
      <c r="B102" s="16">
        <v>0.95000000000000007</v>
      </c>
      <c r="C102" t="s">
        <v>11</v>
      </c>
      <c r="D102" t="s">
        <v>141</v>
      </c>
      <c r="E102">
        <v>172</v>
      </c>
      <c r="F102" s="15">
        <f t="shared" si="6"/>
        <v>2.8666666666666667</v>
      </c>
      <c r="G102" t="s">
        <v>145</v>
      </c>
      <c r="H102" t="str">
        <f t="shared" si="7"/>
        <v>Noite</v>
      </c>
    </row>
    <row r="103" spans="1:8" x14ac:dyDescent="0.25">
      <c r="A103" s="1">
        <v>46043</v>
      </c>
      <c r="B103" s="16">
        <v>0.36527777777777781</v>
      </c>
      <c r="C103" t="s">
        <v>102</v>
      </c>
      <c r="D103" t="s">
        <v>141</v>
      </c>
      <c r="E103">
        <v>157</v>
      </c>
      <c r="F103" s="15">
        <f t="shared" si="6"/>
        <v>2.6166666666666667</v>
      </c>
      <c r="G103" t="s">
        <v>145</v>
      </c>
      <c r="H103" t="str">
        <f t="shared" si="7"/>
        <v>Manhã</v>
      </c>
    </row>
    <row r="104" spans="1:8" x14ac:dyDescent="0.25">
      <c r="A104" s="1">
        <v>46043</v>
      </c>
      <c r="B104" s="16">
        <v>0.38194444444444442</v>
      </c>
      <c r="C104" t="s">
        <v>63</v>
      </c>
      <c r="D104" t="s">
        <v>141</v>
      </c>
      <c r="E104">
        <v>157</v>
      </c>
      <c r="F104" s="15">
        <f t="shared" si="6"/>
        <v>2.6166666666666667</v>
      </c>
      <c r="G104" t="s">
        <v>145</v>
      </c>
      <c r="H104" t="str">
        <f t="shared" si="7"/>
        <v>Manhã</v>
      </c>
    </row>
    <row r="105" spans="1:8" x14ac:dyDescent="0.25">
      <c r="A105" s="1">
        <v>46043</v>
      </c>
      <c r="B105" s="16">
        <v>0.38472222222222219</v>
      </c>
      <c r="C105" t="s">
        <v>63</v>
      </c>
      <c r="D105" t="s">
        <v>141</v>
      </c>
      <c r="E105">
        <v>157</v>
      </c>
      <c r="F105" s="15">
        <f t="shared" si="6"/>
        <v>2.6166666666666667</v>
      </c>
      <c r="G105" t="s">
        <v>145</v>
      </c>
      <c r="H105" t="str">
        <f t="shared" si="7"/>
        <v>Manhã</v>
      </c>
    </row>
    <row r="106" spans="1:8" x14ac:dyDescent="0.25">
      <c r="A106" s="1">
        <v>46043</v>
      </c>
      <c r="B106" s="16">
        <v>0.38819444444444445</v>
      </c>
      <c r="C106" t="s">
        <v>63</v>
      </c>
      <c r="D106" t="s">
        <v>141</v>
      </c>
      <c r="E106">
        <v>157</v>
      </c>
      <c r="F106" s="15">
        <f t="shared" si="6"/>
        <v>2.6166666666666667</v>
      </c>
      <c r="G106" t="s">
        <v>145</v>
      </c>
      <c r="H106" t="str">
        <f t="shared" si="7"/>
        <v>Manhã</v>
      </c>
    </row>
    <row r="107" spans="1:8" x14ac:dyDescent="0.25">
      <c r="A107" s="1">
        <v>46043</v>
      </c>
      <c r="B107" s="16">
        <v>0.3923611111111111</v>
      </c>
      <c r="C107" t="s">
        <v>63</v>
      </c>
      <c r="D107" t="s">
        <v>141</v>
      </c>
      <c r="E107">
        <v>157</v>
      </c>
      <c r="F107" s="15">
        <f t="shared" si="6"/>
        <v>2.6166666666666667</v>
      </c>
      <c r="G107" t="s">
        <v>145</v>
      </c>
      <c r="H107" t="str">
        <f t="shared" si="7"/>
        <v>Manhã</v>
      </c>
    </row>
    <row r="108" spans="1:8" x14ac:dyDescent="0.25">
      <c r="A108" s="1">
        <v>46043</v>
      </c>
      <c r="B108" s="16">
        <v>0.40625</v>
      </c>
      <c r="C108" t="s">
        <v>63</v>
      </c>
      <c r="D108" t="s">
        <v>141</v>
      </c>
      <c r="E108">
        <v>157</v>
      </c>
      <c r="F108" s="15">
        <f t="shared" si="6"/>
        <v>2.6166666666666667</v>
      </c>
      <c r="G108" t="s">
        <v>145</v>
      </c>
      <c r="H108" t="str">
        <f t="shared" si="7"/>
        <v>Manhã</v>
      </c>
    </row>
    <row r="109" spans="1:8" x14ac:dyDescent="0.25">
      <c r="A109" s="1">
        <v>46043</v>
      </c>
      <c r="B109" s="16">
        <v>0.42499999999999999</v>
      </c>
      <c r="C109" t="s">
        <v>90</v>
      </c>
      <c r="D109" t="s">
        <v>141</v>
      </c>
      <c r="E109">
        <v>210</v>
      </c>
      <c r="F109" s="15">
        <f t="shared" si="6"/>
        <v>3.5</v>
      </c>
      <c r="G109" t="s">
        <v>145</v>
      </c>
      <c r="H109" t="str">
        <f t="shared" si="7"/>
        <v>Manhã</v>
      </c>
    </row>
    <row r="110" spans="1:8" x14ac:dyDescent="0.25">
      <c r="A110" s="1">
        <v>46043</v>
      </c>
      <c r="B110" s="16">
        <v>0.44027777777777777</v>
      </c>
      <c r="C110" t="s">
        <v>133</v>
      </c>
      <c r="D110" t="s">
        <v>141</v>
      </c>
      <c r="E110">
        <v>425</v>
      </c>
      <c r="F110" s="15">
        <f t="shared" si="6"/>
        <v>7.083333333333333</v>
      </c>
      <c r="G110" t="s">
        <v>145</v>
      </c>
      <c r="H110" t="str">
        <f t="shared" si="7"/>
        <v>Manhã</v>
      </c>
    </row>
    <row r="111" spans="1:8" x14ac:dyDescent="0.25">
      <c r="A111" s="1">
        <v>46044</v>
      </c>
      <c r="B111" s="16">
        <v>0.65555555555555556</v>
      </c>
      <c r="C111" t="s">
        <v>95</v>
      </c>
      <c r="D111" t="s">
        <v>141</v>
      </c>
      <c r="E111">
        <v>192</v>
      </c>
      <c r="F111" s="15">
        <f t="shared" si="6"/>
        <v>3.2</v>
      </c>
      <c r="G111" t="s">
        <v>145</v>
      </c>
      <c r="H111" t="str">
        <f t="shared" si="7"/>
        <v>Tarde</v>
      </c>
    </row>
    <row r="112" spans="1:8" x14ac:dyDescent="0.25">
      <c r="A112" s="1">
        <v>46044</v>
      </c>
      <c r="B112" s="16">
        <v>0.65972222222222221</v>
      </c>
      <c r="C112" t="s">
        <v>86</v>
      </c>
      <c r="D112" t="s">
        <v>141</v>
      </c>
      <c r="E112">
        <v>179</v>
      </c>
      <c r="F112" s="15">
        <f t="shared" si="6"/>
        <v>2.9833333333333334</v>
      </c>
      <c r="G112" t="s">
        <v>145</v>
      </c>
      <c r="H112" t="str">
        <f t="shared" si="7"/>
        <v>Tarde</v>
      </c>
    </row>
    <row r="113" spans="1:8" x14ac:dyDescent="0.25">
      <c r="A113" s="1">
        <v>46044</v>
      </c>
      <c r="B113" s="16">
        <v>0.68263888888888891</v>
      </c>
      <c r="C113" t="s">
        <v>95</v>
      </c>
      <c r="D113" t="s">
        <v>141</v>
      </c>
      <c r="E113">
        <v>110</v>
      </c>
      <c r="F113" s="15">
        <f t="shared" si="6"/>
        <v>1.8333333333333333</v>
      </c>
      <c r="G113" t="s">
        <v>144</v>
      </c>
      <c r="H113" t="str">
        <f t="shared" si="7"/>
        <v>Tarde</v>
      </c>
    </row>
    <row r="114" spans="1:8" x14ac:dyDescent="0.25">
      <c r="A114" s="1">
        <v>46044</v>
      </c>
      <c r="B114" s="16">
        <v>0.7006944444444444</v>
      </c>
      <c r="C114" t="s">
        <v>118</v>
      </c>
      <c r="D114" t="s">
        <v>141</v>
      </c>
      <c r="E114">
        <v>152</v>
      </c>
      <c r="F114" s="15">
        <f t="shared" si="6"/>
        <v>2.5333333333333332</v>
      </c>
      <c r="G114" t="s">
        <v>144</v>
      </c>
      <c r="H114" t="str">
        <f t="shared" si="7"/>
        <v>Tarde</v>
      </c>
    </row>
    <row r="115" spans="1:8" x14ac:dyDescent="0.25">
      <c r="A115" s="1">
        <v>46044</v>
      </c>
      <c r="B115" s="16">
        <v>0.75069444444444444</v>
      </c>
      <c r="C115" t="s">
        <v>40</v>
      </c>
      <c r="D115" t="s">
        <v>141</v>
      </c>
      <c r="E115">
        <v>221</v>
      </c>
      <c r="F115" s="15">
        <f t="shared" si="6"/>
        <v>3.6833333333333331</v>
      </c>
      <c r="G115" t="s">
        <v>142</v>
      </c>
      <c r="H115" t="str">
        <f t="shared" si="7"/>
        <v>Noite</v>
      </c>
    </row>
    <row r="116" spans="1:8" x14ac:dyDescent="0.25">
      <c r="A116" s="1">
        <v>46044</v>
      </c>
      <c r="B116" s="16">
        <v>0.80694444444444446</v>
      </c>
      <c r="C116" t="s">
        <v>40</v>
      </c>
      <c r="D116" t="s">
        <v>141</v>
      </c>
      <c r="E116">
        <v>221</v>
      </c>
      <c r="F116" s="15">
        <f t="shared" si="6"/>
        <v>3.6833333333333331</v>
      </c>
      <c r="G116" t="s">
        <v>142</v>
      </c>
      <c r="H116" t="str">
        <f t="shared" si="7"/>
        <v>Noite</v>
      </c>
    </row>
    <row r="117" spans="1:8" x14ac:dyDescent="0.25">
      <c r="A117" s="1">
        <v>46045</v>
      </c>
      <c r="B117" s="16">
        <v>0.79305555555555562</v>
      </c>
      <c r="C117" t="s">
        <v>11</v>
      </c>
      <c r="D117" t="s">
        <v>148</v>
      </c>
      <c r="E117">
        <v>172</v>
      </c>
      <c r="F117" s="15">
        <f t="shared" si="6"/>
        <v>2.8666666666666667</v>
      </c>
      <c r="G117" t="s">
        <v>142</v>
      </c>
      <c r="H117" t="str">
        <f t="shared" si="7"/>
        <v>Noite</v>
      </c>
    </row>
    <row r="118" spans="1:8" x14ac:dyDescent="0.25">
      <c r="A118" s="1">
        <v>46046</v>
      </c>
      <c r="B118" s="16">
        <v>0.37847222222222227</v>
      </c>
      <c r="C118" t="s">
        <v>113</v>
      </c>
      <c r="D118" t="s">
        <v>141</v>
      </c>
      <c r="E118">
        <v>339</v>
      </c>
      <c r="F118" s="15">
        <f t="shared" si="6"/>
        <v>5.65</v>
      </c>
      <c r="G118" t="s">
        <v>142</v>
      </c>
      <c r="H118" t="str">
        <f t="shared" si="7"/>
        <v>Manhã</v>
      </c>
    </row>
    <row r="119" spans="1:8" x14ac:dyDescent="0.25">
      <c r="A119" s="1">
        <v>46046</v>
      </c>
      <c r="B119" s="16">
        <v>0.38472222222222219</v>
      </c>
      <c r="C119" t="s">
        <v>78</v>
      </c>
      <c r="D119" t="s">
        <v>141</v>
      </c>
      <c r="E119">
        <v>165</v>
      </c>
      <c r="F119" s="15">
        <f t="shared" si="6"/>
        <v>2.75</v>
      </c>
      <c r="G119" t="s">
        <v>142</v>
      </c>
      <c r="H119" t="str">
        <f t="shared" si="7"/>
        <v>Manhã</v>
      </c>
    </row>
    <row r="120" spans="1:8" x14ac:dyDescent="0.25">
      <c r="A120" s="1">
        <v>46046</v>
      </c>
      <c r="B120" s="16">
        <v>0.39305555555555555</v>
      </c>
      <c r="C120" t="s">
        <v>78</v>
      </c>
      <c r="D120" t="s">
        <v>141</v>
      </c>
      <c r="E120">
        <v>165</v>
      </c>
      <c r="F120" s="15">
        <f t="shared" si="6"/>
        <v>2.75</v>
      </c>
      <c r="G120" t="s">
        <v>142</v>
      </c>
      <c r="H120" t="str">
        <f t="shared" si="7"/>
        <v>Manhã</v>
      </c>
    </row>
    <row r="121" spans="1:8" x14ac:dyDescent="0.25">
      <c r="A121" s="1">
        <v>46046</v>
      </c>
      <c r="B121" s="16">
        <v>0.3972222222222222</v>
      </c>
      <c r="C121" t="s">
        <v>95</v>
      </c>
      <c r="D121" t="s">
        <v>141</v>
      </c>
      <c r="E121">
        <v>151</v>
      </c>
      <c r="F121" s="15">
        <f t="shared" si="6"/>
        <v>2.5166666666666666</v>
      </c>
      <c r="G121" t="s">
        <v>144</v>
      </c>
      <c r="H121" t="str">
        <f t="shared" si="7"/>
        <v>Manhã</v>
      </c>
    </row>
    <row r="122" spans="1:8" x14ac:dyDescent="0.25">
      <c r="A122" s="1">
        <v>46046</v>
      </c>
      <c r="B122" s="16">
        <v>0.47430555555555554</v>
      </c>
      <c r="C122" t="s">
        <v>59</v>
      </c>
      <c r="D122" t="s">
        <v>141</v>
      </c>
      <c r="E122">
        <v>175</v>
      </c>
      <c r="F122" s="15">
        <f t="shared" si="6"/>
        <v>2.9166666666666665</v>
      </c>
      <c r="G122" t="s">
        <v>142</v>
      </c>
      <c r="H122" t="str">
        <f t="shared" si="7"/>
        <v>Manhã</v>
      </c>
    </row>
    <row r="123" spans="1:8" x14ac:dyDescent="0.25">
      <c r="A123" s="1">
        <v>46046</v>
      </c>
      <c r="B123" s="16">
        <v>0.4770833333333333</v>
      </c>
      <c r="C123" t="s">
        <v>50</v>
      </c>
      <c r="D123" t="s">
        <v>141</v>
      </c>
      <c r="E123">
        <v>175</v>
      </c>
      <c r="F123" s="15">
        <f t="shared" si="6"/>
        <v>2.9166666666666665</v>
      </c>
      <c r="G123" t="s">
        <v>144</v>
      </c>
      <c r="H123" t="str">
        <f t="shared" si="7"/>
        <v>Manhã</v>
      </c>
    </row>
    <row r="124" spans="1:8" x14ac:dyDescent="0.25">
      <c r="A124" s="1">
        <v>46046</v>
      </c>
      <c r="B124" s="16">
        <v>0.48125000000000001</v>
      </c>
      <c r="C124" t="s">
        <v>50</v>
      </c>
      <c r="D124" t="s">
        <v>141</v>
      </c>
      <c r="E124">
        <v>115</v>
      </c>
      <c r="F124" s="15">
        <f t="shared" si="6"/>
        <v>1.9166666666666667</v>
      </c>
      <c r="G124" t="s">
        <v>144</v>
      </c>
      <c r="H124" t="str">
        <f t="shared" si="7"/>
        <v>Manhã</v>
      </c>
    </row>
    <row r="125" spans="1:8" x14ac:dyDescent="0.25">
      <c r="A125" s="1">
        <v>46046</v>
      </c>
      <c r="B125" s="16">
        <v>0.65486111111111112</v>
      </c>
      <c r="C125" t="s">
        <v>45</v>
      </c>
      <c r="D125" t="s">
        <v>143</v>
      </c>
      <c r="E125">
        <v>170</v>
      </c>
      <c r="F125" s="15">
        <f t="shared" si="6"/>
        <v>2.8333333333333335</v>
      </c>
      <c r="G125" t="s">
        <v>142</v>
      </c>
      <c r="H125" t="str">
        <f t="shared" si="7"/>
        <v>Tarde</v>
      </c>
    </row>
    <row r="126" spans="1:8" x14ac:dyDescent="0.25">
      <c r="A126" s="1">
        <v>46046</v>
      </c>
      <c r="B126" s="16">
        <v>0.68958333333333333</v>
      </c>
      <c r="C126" t="s">
        <v>74</v>
      </c>
      <c r="D126" t="s">
        <v>143</v>
      </c>
      <c r="E126">
        <v>122</v>
      </c>
      <c r="F126" s="15">
        <f t="shared" si="6"/>
        <v>2.0333333333333332</v>
      </c>
      <c r="G126" t="s">
        <v>144</v>
      </c>
      <c r="H126" t="str">
        <f t="shared" si="7"/>
        <v>Tarde</v>
      </c>
    </row>
    <row r="127" spans="1:8" x14ac:dyDescent="0.25">
      <c r="A127" s="1">
        <v>46046</v>
      </c>
      <c r="B127" s="16">
        <v>0.7055555555555556</v>
      </c>
      <c r="C127" t="s">
        <v>63</v>
      </c>
      <c r="D127" t="s">
        <v>143</v>
      </c>
      <c r="E127">
        <v>122</v>
      </c>
      <c r="F127" s="15">
        <f t="shared" si="6"/>
        <v>2.0333333333333332</v>
      </c>
      <c r="G127" t="s">
        <v>144</v>
      </c>
      <c r="H127" t="str">
        <f t="shared" si="7"/>
        <v>Tarde</v>
      </c>
    </row>
    <row r="128" spans="1:8" x14ac:dyDescent="0.25">
      <c r="A128" s="1">
        <v>46046</v>
      </c>
      <c r="B128" s="16">
        <v>0.75555555555555554</v>
      </c>
      <c r="C128" t="s">
        <v>63</v>
      </c>
      <c r="D128" t="s">
        <v>143</v>
      </c>
      <c r="E128">
        <v>157</v>
      </c>
      <c r="F128" s="15">
        <f t="shared" si="6"/>
        <v>2.6166666666666667</v>
      </c>
      <c r="G128" t="s">
        <v>142</v>
      </c>
      <c r="H128" t="str">
        <f t="shared" si="7"/>
        <v>Noite</v>
      </c>
    </row>
    <row r="129" spans="1:8" x14ac:dyDescent="0.25">
      <c r="A129" s="1">
        <v>46046</v>
      </c>
      <c r="B129" s="16">
        <v>0.75</v>
      </c>
      <c r="C129" t="s">
        <v>83</v>
      </c>
      <c r="D129" t="s">
        <v>141</v>
      </c>
      <c r="E129">
        <v>48</v>
      </c>
      <c r="F129" s="15">
        <f t="shared" si="6"/>
        <v>0.8</v>
      </c>
      <c r="G129" t="s">
        <v>144</v>
      </c>
      <c r="H129" t="str">
        <f t="shared" si="7"/>
        <v>Noite</v>
      </c>
    </row>
    <row r="130" spans="1:8" x14ac:dyDescent="0.25">
      <c r="A130" s="1">
        <v>46046</v>
      </c>
      <c r="B130" s="16">
        <v>0.81527777777777777</v>
      </c>
      <c r="C130" t="s">
        <v>18</v>
      </c>
      <c r="D130" t="s">
        <v>141</v>
      </c>
      <c r="E130">
        <v>219</v>
      </c>
      <c r="F130" s="15">
        <f t="shared" ref="F130:F161" si="8">E130/60</f>
        <v>3.65</v>
      </c>
      <c r="G130" t="s">
        <v>142</v>
      </c>
      <c r="H130" t="str">
        <f t="shared" ref="H130:H163" si="9">IF(HOUR(B130)&lt;6,"Madrugada",IF(HOUR(B130)&lt;12,"Manhã",IF(HOUR(B130)&lt;18,"Tarde","Noite")))</f>
        <v>Noite</v>
      </c>
    </row>
    <row r="131" spans="1:8" x14ac:dyDescent="0.25">
      <c r="A131" s="1">
        <v>46046</v>
      </c>
      <c r="B131" s="16">
        <v>0.8208333333333333</v>
      </c>
      <c r="C131" t="s">
        <v>15</v>
      </c>
      <c r="D131" t="s">
        <v>141</v>
      </c>
      <c r="E131">
        <v>114</v>
      </c>
      <c r="F131" s="15">
        <f t="shared" si="8"/>
        <v>1.9</v>
      </c>
      <c r="G131" t="s">
        <v>142</v>
      </c>
      <c r="H131" t="str">
        <f t="shared" si="9"/>
        <v>Noite</v>
      </c>
    </row>
    <row r="132" spans="1:8" x14ac:dyDescent="0.25">
      <c r="A132" s="1">
        <v>46046</v>
      </c>
      <c r="B132" s="16">
        <v>0.875</v>
      </c>
      <c r="C132" t="s">
        <v>11</v>
      </c>
      <c r="D132" t="s">
        <v>141</v>
      </c>
      <c r="E132">
        <v>172</v>
      </c>
      <c r="F132" s="15">
        <f t="shared" si="8"/>
        <v>2.8666666666666667</v>
      </c>
      <c r="G132" t="s">
        <v>142</v>
      </c>
      <c r="H132" t="str">
        <f t="shared" si="9"/>
        <v>Noite</v>
      </c>
    </row>
    <row r="133" spans="1:8" x14ac:dyDescent="0.25">
      <c r="A133" s="1">
        <v>46046</v>
      </c>
      <c r="B133" s="16">
        <v>0.88541666666666663</v>
      </c>
      <c r="C133" t="s">
        <v>11</v>
      </c>
      <c r="D133" t="s">
        <v>141</v>
      </c>
      <c r="E133">
        <v>172</v>
      </c>
      <c r="F133" s="15">
        <f t="shared" si="8"/>
        <v>2.8666666666666667</v>
      </c>
      <c r="G133" t="s">
        <v>142</v>
      </c>
      <c r="H133" t="str">
        <f t="shared" si="9"/>
        <v>Noite</v>
      </c>
    </row>
    <row r="134" spans="1:8" x14ac:dyDescent="0.25">
      <c r="A134" s="1">
        <v>46046</v>
      </c>
      <c r="B134" s="16">
        <v>0.8881944444444444</v>
      </c>
      <c r="C134" t="s">
        <v>7</v>
      </c>
      <c r="D134" t="s">
        <v>141</v>
      </c>
      <c r="E134">
        <v>103</v>
      </c>
      <c r="F134" s="15">
        <f t="shared" si="8"/>
        <v>1.7166666666666666</v>
      </c>
      <c r="G134" t="s">
        <v>142</v>
      </c>
      <c r="H134" t="str">
        <f t="shared" si="9"/>
        <v>Noite</v>
      </c>
    </row>
    <row r="135" spans="1:8" x14ac:dyDescent="0.25">
      <c r="A135" s="1">
        <v>46046</v>
      </c>
      <c r="B135" s="16">
        <v>0.94027777777777777</v>
      </c>
      <c r="C135" t="s">
        <v>40</v>
      </c>
      <c r="D135" t="s">
        <v>141</v>
      </c>
      <c r="E135">
        <v>200</v>
      </c>
      <c r="F135" s="15">
        <f t="shared" si="8"/>
        <v>3.3333333333333335</v>
      </c>
      <c r="G135" t="s">
        <v>144</v>
      </c>
      <c r="H135" t="str">
        <f t="shared" si="9"/>
        <v>Noite</v>
      </c>
    </row>
    <row r="136" spans="1:8" x14ac:dyDescent="0.25">
      <c r="A136" s="1">
        <v>46047</v>
      </c>
      <c r="B136" s="16">
        <v>0.50138888888888888</v>
      </c>
      <c r="C136" t="s">
        <v>25</v>
      </c>
      <c r="D136" t="s">
        <v>141</v>
      </c>
      <c r="E136">
        <v>148</v>
      </c>
      <c r="F136" s="15">
        <f t="shared" si="8"/>
        <v>2.4666666666666668</v>
      </c>
      <c r="G136" t="s">
        <v>142</v>
      </c>
      <c r="H136" t="str">
        <f t="shared" si="9"/>
        <v>Tarde</v>
      </c>
    </row>
    <row r="137" spans="1:8" x14ac:dyDescent="0.25">
      <c r="A137" s="1">
        <v>46047</v>
      </c>
      <c r="B137" s="16">
        <v>0.5180555555555556</v>
      </c>
      <c r="C137" t="s">
        <v>25</v>
      </c>
      <c r="D137" t="s">
        <v>141</v>
      </c>
      <c r="E137">
        <v>148</v>
      </c>
      <c r="F137" s="15">
        <f t="shared" si="8"/>
        <v>2.4666666666666668</v>
      </c>
      <c r="G137" t="s">
        <v>142</v>
      </c>
      <c r="H137" t="str">
        <f t="shared" si="9"/>
        <v>Tarde</v>
      </c>
    </row>
    <row r="138" spans="1:8" x14ac:dyDescent="0.25">
      <c r="A138" s="1">
        <v>46047</v>
      </c>
      <c r="B138" s="16">
        <v>0.54791666666666672</v>
      </c>
      <c r="C138" t="s">
        <v>50</v>
      </c>
      <c r="D138" t="s">
        <v>141</v>
      </c>
      <c r="E138">
        <v>123</v>
      </c>
      <c r="F138" s="15">
        <f t="shared" si="8"/>
        <v>2.0499999999999998</v>
      </c>
      <c r="G138" t="s">
        <v>144</v>
      </c>
      <c r="H138" t="str">
        <f t="shared" si="9"/>
        <v>Tarde</v>
      </c>
    </row>
    <row r="139" spans="1:8" x14ac:dyDescent="0.25">
      <c r="A139" s="1">
        <v>46047</v>
      </c>
      <c r="B139" s="16">
        <v>0.74722222222222223</v>
      </c>
      <c r="C139" t="s">
        <v>50</v>
      </c>
      <c r="D139" t="s">
        <v>141</v>
      </c>
      <c r="E139">
        <v>180</v>
      </c>
      <c r="F139" s="15">
        <f t="shared" si="8"/>
        <v>3</v>
      </c>
      <c r="G139" t="s">
        <v>142</v>
      </c>
      <c r="H139" t="str">
        <f t="shared" si="9"/>
        <v>Tarde</v>
      </c>
    </row>
    <row r="140" spans="1:8" x14ac:dyDescent="0.25">
      <c r="A140" s="1">
        <v>46048</v>
      </c>
      <c r="B140" s="16">
        <v>0.75277777777777777</v>
      </c>
      <c r="C140" t="s">
        <v>50</v>
      </c>
      <c r="D140" t="s">
        <v>141</v>
      </c>
      <c r="E140">
        <v>180</v>
      </c>
      <c r="F140" s="15">
        <f t="shared" si="8"/>
        <v>3</v>
      </c>
      <c r="G140" t="s">
        <v>142</v>
      </c>
      <c r="H140" t="str">
        <f t="shared" si="9"/>
        <v>Noite</v>
      </c>
    </row>
    <row r="141" spans="1:8" x14ac:dyDescent="0.25">
      <c r="A141" s="1">
        <v>46048</v>
      </c>
      <c r="B141" s="16">
        <v>0.75902777777777775</v>
      </c>
      <c r="C141" t="s">
        <v>90</v>
      </c>
      <c r="D141" t="s">
        <v>141</v>
      </c>
      <c r="E141">
        <v>210</v>
      </c>
      <c r="F141" s="15">
        <f t="shared" si="8"/>
        <v>3.5</v>
      </c>
      <c r="G141" t="s">
        <v>142</v>
      </c>
      <c r="H141" t="str">
        <f t="shared" si="9"/>
        <v>Noite</v>
      </c>
    </row>
    <row r="142" spans="1:8" x14ac:dyDescent="0.25">
      <c r="A142" s="1">
        <v>46048</v>
      </c>
      <c r="B142" s="16">
        <v>0.80763888888888891</v>
      </c>
      <c r="C142" t="s">
        <v>59</v>
      </c>
      <c r="D142" t="s">
        <v>143</v>
      </c>
      <c r="E142">
        <v>175</v>
      </c>
      <c r="F142" s="15">
        <f t="shared" si="8"/>
        <v>2.9166666666666665</v>
      </c>
      <c r="G142" t="s">
        <v>142</v>
      </c>
      <c r="H142" t="str">
        <f t="shared" si="9"/>
        <v>Noite</v>
      </c>
    </row>
    <row r="143" spans="1:8" x14ac:dyDescent="0.25">
      <c r="A143" s="1">
        <v>46048</v>
      </c>
      <c r="B143" s="16">
        <v>0.875</v>
      </c>
      <c r="C143" t="s">
        <v>61</v>
      </c>
      <c r="D143" t="s">
        <v>143</v>
      </c>
      <c r="E143">
        <v>201</v>
      </c>
      <c r="F143" s="15">
        <f t="shared" si="8"/>
        <v>3.35</v>
      </c>
      <c r="G143" t="s">
        <v>142</v>
      </c>
      <c r="H143" t="str">
        <f t="shared" si="9"/>
        <v>Noite</v>
      </c>
    </row>
    <row r="144" spans="1:8" x14ac:dyDescent="0.25">
      <c r="A144" s="1">
        <v>46048</v>
      </c>
      <c r="B144" s="16">
        <v>0.89166666666666661</v>
      </c>
      <c r="C144" t="s">
        <v>97</v>
      </c>
      <c r="D144" t="s">
        <v>143</v>
      </c>
      <c r="E144">
        <v>163</v>
      </c>
      <c r="F144" s="15">
        <f t="shared" si="8"/>
        <v>2.7166666666666668</v>
      </c>
      <c r="G144" t="s">
        <v>142</v>
      </c>
      <c r="H144" t="str">
        <f t="shared" si="9"/>
        <v>Noite</v>
      </c>
    </row>
    <row r="145" spans="1:8" x14ac:dyDescent="0.25">
      <c r="A145" s="1">
        <v>46049</v>
      </c>
      <c r="B145" s="16">
        <v>0.59930555555555554</v>
      </c>
      <c r="C145" t="s">
        <v>11</v>
      </c>
      <c r="D145" t="s">
        <v>148</v>
      </c>
      <c r="E145">
        <v>172</v>
      </c>
      <c r="F145" s="15">
        <f t="shared" si="8"/>
        <v>2.8666666666666667</v>
      </c>
      <c r="G145" t="s">
        <v>142</v>
      </c>
      <c r="H145" t="str">
        <f t="shared" si="9"/>
        <v>Tarde</v>
      </c>
    </row>
    <row r="146" spans="1:8" x14ac:dyDescent="0.25">
      <c r="A146" s="1">
        <v>46049</v>
      </c>
      <c r="B146" s="16">
        <v>0.6069444444444444</v>
      </c>
      <c r="C146" t="s">
        <v>69</v>
      </c>
      <c r="D146" t="s">
        <v>148</v>
      </c>
      <c r="E146">
        <v>159</v>
      </c>
      <c r="F146" s="15">
        <f t="shared" si="8"/>
        <v>2.65</v>
      </c>
      <c r="G146" t="s">
        <v>142</v>
      </c>
      <c r="H146" t="str">
        <f t="shared" si="9"/>
        <v>Tarde</v>
      </c>
    </row>
    <row r="147" spans="1:8" x14ac:dyDescent="0.25">
      <c r="A147" s="1">
        <v>46049</v>
      </c>
      <c r="B147" s="16">
        <v>0.62638888888888888</v>
      </c>
      <c r="C147" t="s">
        <v>69</v>
      </c>
      <c r="D147" t="s">
        <v>148</v>
      </c>
      <c r="E147">
        <v>122</v>
      </c>
      <c r="F147" s="15">
        <f t="shared" si="8"/>
        <v>2.0333333333333332</v>
      </c>
      <c r="G147" t="s">
        <v>144</v>
      </c>
      <c r="H147" t="str">
        <f t="shared" si="9"/>
        <v>Tarde</v>
      </c>
    </row>
    <row r="148" spans="1:8" x14ac:dyDescent="0.25">
      <c r="A148" s="1">
        <v>46049</v>
      </c>
      <c r="B148" s="16">
        <v>0.63680555555555551</v>
      </c>
      <c r="C148" t="s">
        <v>69</v>
      </c>
      <c r="D148" t="s">
        <v>148</v>
      </c>
      <c r="E148">
        <v>159</v>
      </c>
      <c r="F148" s="15">
        <f t="shared" si="8"/>
        <v>2.65</v>
      </c>
      <c r="G148" t="s">
        <v>142</v>
      </c>
      <c r="H148" t="str">
        <f t="shared" si="9"/>
        <v>Tarde</v>
      </c>
    </row>
    <row r="149" spans="1:8" x14ac:dyDescent="0.25">
      <c r="A149" s="1">
        <v>46049</v>
      </c>
      <c r="B149" s="16">
        <v>0.69027777777777777</v>
      </c>
      <c r="C149" t="s">
        <v>11</v>
      </c>
      <c r="D149" t="s">
        <v>148</v>
      </c>
      <c r="E149">
        <v>172</v>
      </c>
      <c r="F149" s="15">
        <f t="shared" si="8"/>
        <v>2.8666666666666667</v>
      </c>
      <c r="G149" t="s">
        <v>142</v>
      </c>
      <c r="H149" t="str">
        <f t="shared" si="9"/>
        <v>Tarde</v>
      </c>
    </row>
    <row r="150" spans="1:8" x14ac:dyDescent="0.25">
      <c r="A150" s="1">
        <v>46049</v>
      </c>
      <c r="B150" s="16">
        <v>0.70277777777777783</v>
      </c>
      <c r="C150" t="s">
        <v>11</v>
      </c>
      <c r="D150" t="s">
        <v>148</v>
      </c>
      <c r="E150">
        <v>109</v>
      </c>
      <c r="F150" s="15">
        <f t="shared" si="8"/>
        <v>1.8166666666666667</v>
      </c>
      <c r="G150" t="s">
        <v>144</v>
      </c>
      <c r="H150" t="str">
        <f t="shared" si="9"/>
        <v>Tarde</v>
      </c>
    </row>
    <row r="151" spans="1:8" x14ac:dyDescent="0.25">
      <c r="A151" s="1">
        <v>46049</v>
      </c>
      <c r="B151" s="16">
        <v>0.84930555555555554</v>
      </c>
      <c r="C151" t="s">
        <v>78</v>
      </c>
      <c r="D151" t="s">
        <v>141</v>
      </c>
      <c r="E151">
        <v>102</v>
      </c>
      <c r="F151" s="15">
        <f t="shared" si="8"/>
        <v>1.7</v>
      </c>
      <c r="G151" t="s">
        <v>144</v>
      </c>
      <c r="H151" t="str">
        <f t="shared" si="9"/>
        <v>Noite</v>
      </c>
    </row>
    <row r="152" spans="1:8" x14ac:dyDescent="0.25">
      <c r="A152" s="1">
        <v>46049</v>
      </c>
      <c r="B152" s="16">
        <v>0.86458333333333337</v>
      </c>
      <c r="C152" t="s">
        <v>76</v>
      </c>
      <c r="D152" t="s">
        <v>141</v>
      </c>
      <c r="E152">
        <v>197</v>
      </c>
      <c r="F152" s="15">
        <f t="shared" si="8"/>
        <v>3.2833333333333332</v>
      </c>
      <c r="G152" t="s">
        <v>142</v>
      </c>
      <c r="H152" t="str">
        <f t="shared" si="9"/>
        <v>Noite</v>
      </c>
    </row>
    <row r="153" spans="1:8" x14ac:dyDescent="0.25">
      <c r="A153" s="1">
        <v>46051</v>
      </c>
      <c r="B153" s="16">
        <v>0.74722222222222223</v>
      </c>
      <c r="C153" t="s">
        <v>50</v>
      </c>
      <c r="D153" t="s">
        <v>141</v>
      </c>
      <c r="E153">
        <v>180</v>
      </c>
      <c r="F153" s="15">
        <f t="shared" si="8"/>
        <v>3</v>
      </c>
      <c r="G153" t="s">
        <v>142</v>
      </c>
      <c r="H153" t="str">
        <f t="shared" si="9"/>
        <v>Tarde</v>
      </c>
    </row>
    <row r="154" spans="1:8" x14ac:dyDescent="0.25">
      <c r="A154" s="1">
        <v>46051</v>
      </c>
      <c r="B154" s="16">
        <v>0.80902777777777779</v>
      </c>
      <c r="C154" t="s">
        <v>45</v>
      </c>
      <c r="D154" t="s">
        <v>141</v>
      </c>
      <c r="E154">
        <v>95</v>
      </c>
      <c r="F154" s="15">
        <f t="shared" si="8"/>
        <v>1.5833333333333333</v>
      </c>
      <c r="G154" t="s">
        <v>144</v>
      </c>
      <c r="H154" t="str">
        <f t="shared" si="9"/>
        <v>Noite</v>
      </c>
    </row>
    <row r="155" spans="1:8" x14ac:dyDescent="0.25">
      <c r="A155" s="1">
        <v>46052</v>
      </c>
      <c r="B155" s="16">
        <v>0.89861111111111114</v>
      </c>
      <c r="C155" t="s">
        <v>11</v>
      </c>
      <c r="D155" t="s">
        <v>141</v>
      </c>
      <c r="E155">
        <v>114</v>
      </c>
      <c r="F155" s="15">
        <f t="shared" si="8"/>
        <v>1.9</v>
      </c>
      <c r="G155" t="s">
        <v>144</v>
      </c>
      <c r="H155" t="str">
        <f t="shared" si="9"/>
        <v>Noite</v>
      </c>
    </row>
    <row r="156" spans="1:8" x14ac:dyDescent="0.25">
      <c r="A156" s="1">
        <v>46052</v>
      </c>
      <c r="B156" s="16">
        <v>0.90416666666666667</v>
      </c>
      <c r="C156" t="s">
        <v>40</v>
      </c>
      <c r="D156" t="s">
        <v>141</v>
      </c>
      <c r="E156">
        <v>221</v>
      </c>
      <c r="F156" s="15">
        <f t="shared" si="8"/>
        <v>3.6833333333333331</v>
      </c>
      <c r="G156" t="s">
        <v>142</v>
      </c>
      <c r="H156" t="str">
        <f t="shared" si="9"/>
        <v>Noite</v>
      </c>
    </row>
    <row r="157" spans="1:8" x14ac:dyDescent="0.25">
      <c r="A157" s="1">
        <v>46052</v>
      </c>
      <c r="B157" s="16">
        <v>0.9194444444444444</v>
      </c>
      <c r="C157" t="s">
        <v>90</v>
      </c>
      <c r="D157" t="s">
        <v>141</v>
      </c>
      <c r="E157">
        <v>67</v>
      </c>
      <c r="F157" s="15">
        <f t="shared" si="8"/>
        <v>1.1166666666666667</v>
      </c>
      <c r="G157" t="s">
        <v>144</v>
      </c>
      <c r="H157" t="str">
        <f t="shared" si="9"/>
        <v>Noite</v>
      </c>
    </row>
    <row r="158" spans="1:8" x14ac:dyDescent="0.25">
      <c r="A158" s="1">
        <v>46052</v>
      </c>
      <c r="B158" s="16">
        <v>0.92083333333333339</v>
      </c>
      <c r="C158" t="s">
        <v>55</v>
      </c>
      <c r="D158" t="s">
        <v>141</v>
      </c>
      <c r="E158">
        <v>163</v>
      </c>
      <c r="F158" s="15">
        <f t="shared" si="8"/>
        <v>2.7166666666666668</v>
      </c>
      <c r="G158" t="s">
        <v>142</v>
      </c>
      <c r="H158" t="str">
        <f t="shared" si="9"/>
        <v>Noite</v>
      </c>
    </row>
    <row r="159" spans="1:8" x14ac:dyDescent="0.25">
      <c r="A159" s="1">
        <v>46052</v>
      </c>
      <c r="B159" s="16">
        <v>0.99791666666666667</v>
      </c>
      <c r="C159" t="s">
        <v>55</v>
      </c>
      <c r="D159" t="s">
        <v>141</v>
      </c>
      <c r="E159">
        <v>32</v>
      </c>
      <c r="F159" s="15">
        <f t="shared" si="8"/>
        <v>0.53333333333333333</v>
      </c>
      <c r="G159" t="s">
        <v>144</v>
      </c>
      <c r="H159" t="str">
        <f t="shared" si="9"/>
        <v>Noite</v>
      </c>
    </row>
    <row r="160" spans="1:8" x14ac:dyDescent="0.25">
      <c r="A160" s="1">
        <v>46053</v>
      </c>
      <c r="B160" s="16">
        <v>0.8930555555555556</v>
      </c>
      <c r="C160" t="s">
        <v>15</v>
      </c>
      <c r="D160" t="s">
        <v>143</v>
      </c>
      <c r="E160">
        <v>114</v>
      </c>
      <c r="F160" s="15">
        <f t="shared" si="8"/>
        <v>1.9</v>
      </c>
      <c r="G160" t="s">
        <v>142</v>
      </c>
      <c r="H160" t="str">
        <f t="shared" si="9"/>
        <v>Noite</v>
      </c>
    </row>
    <row r="161" spans="1:8" x14ac:dyDescent="0.25">
      <c r="A161" s="1">
        <v>46053</v>
      </c>
      <c r="B161" s="16">
        <v>0.89861111111111114</v>
      </c>
      <c r="C161" t="s">
        <v>109</v>
      </c>
      <c r="D161" t="s">
        <v>141</v>
      </c>
      <c r="E161">
        <v>150</v>
      </c>
      <c r="F161" s="15">
        <f t="shared" si="8"/>
        <v>2.5</v>
      </c>
      <c r="G161" t="s">
        <v>142</v>
      </c>
      <c r="H161" t="str">
        <f t="shared" si="9"/>
        <v>Noite</v>
      </c>
    </row>
    <row r="162" spans="1:8" x14ac:dyDescent="0.25">
      <c r="A162" s="1">
        <v>46053</v>
      </c>
      <c r="B162" s="16">
        <v>0.90347222222222223</v>
      </c>
      <c r="C162" t="s">
        <v>109</v>
      </c>
      <c r="D162" t="s">
        <v>141</v>
      </c>
      <c r="E162">
        <v>150</v>
      </c>
      <c r="F162" s="15">
        <f t="shared" ref="F162:F193" si="10">E162/60</f>
        <v>2.5</v>
      </c>
      <c r="G162" t="s">
        <v>142</v>
      </c>
      <c r="H162" t="str">
        <f t="shared" si="9"/>
        <v>Noite</v>
      </c>
    </row>
    <row r="163" spans="1:8" x14ac:dyDescent="0.25">
      <c r="A163" s="1">
        <v>46053</v>
      </c>
      <c r="B163" s="16">
        <v>0.90763888888888899</v>
      </c>
      <c r="C163" t="s">
        <v>109</v>
      </c>
      <c r="D163" t="s">
        <v>141</v>
      </c>
      <c r="E163">
        <v>150</v>
      </c>
      <c r="F163" s="15">
        <f t="shared" si="10"/>
        <v>2.5</v>
      </c>
      <c r="G163" t="s">
        <v>142</v>
      </c>
      <c r="H163" t="str">
        <f t="shared" si="9"/>
        <v>Noite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Views>
    <sheetView topLeftCell="F13" workbookViewId="0">
      <selection activeCell="M13" sqref="M1:M1048576"/>
    </sheetView>
  </sheetViews>
  <sheetFormatPr defaultRowHeight="15" x14ac:dyDescent="0.25"/>
  <cols>
    <col min="1" max="1" width="18" customWidth="1"/>
    <col min="2" max="2" width="15.140625" customWidth="1"/>
    <col min="4" max="4" width="18" bestFit="1" customWidth="1"/>
    <col min="5" max="5" width="28.5703125" style="15" customWidth="1"/>
    <col min="7" max="7" width="18" customWidth="1"/>
    <col min="8" max="8" width="15.140625" style="14" customWidth="1"/>
    <col min="10" max="10" width="18" customWidth="1"/>
    <col min="11" max="11" width="15.140625" customWidth="1"/>
    <col min="12" max="12" width="24.7109375" customWidth="1"/>
    <col min="13" max="13" width="18" customWidth="1"/>
    <col min="14" max="14" width="15.140625" customWidth="1"/>
    <col min="16" max="16" width="18" customWidth="1"/>
    <col min="17" max="17" width="15.140625" customWidth="1"/>
    <col min="18" max="18" width="15.140625" bestFit="1" customWidth="1"/>
  </cols>
  <sheetData>
    <row r="1" spans="1:17" x14ac:dyDescent="0.25">
      <c r="A1" t="s">
        <v>159</v>
      </c>
      <c r="D1" t="s">
        <v>158</v>
      </c>
      <c r="G1" t="s">
        <v>157</v>
      </c>
      <c r="J1" t="s">
        <v>168</v>
      </c>
      <c r="M1" t="s">
        <v>160</v>
      </c>
    </row>
    <row r="3" spans="1:17" x14ac:dyDescent="0.25">
      <c r="A3" s="12" t="s">
        <v>150</v>
      </c>
      <c r="B3" t="s">
        <v>152</v>
      </c>
      <c r="D3" s="12" t="s">
        <v>150</v>
      </c>
      <c r="E3" s="15" t="s">
        <v>156</v>
      </c>
      <c r="G3" s="12" t="s">
        <v>150</v>
      </c>
      <c r="H3" s="14" t="s">
        <v>152</v>
      </c>
      <c r="J3" s="12" t="s">
        <v>150</v>
      </c>
      <c r="K3" t="s">
        <v>152</v>
      </c>
      <c r="L3" t="s">
        <v>172</v>
      </c>
      <c r="M3" s="12" t="s">
        <v>150</v>
      </c>
      <c r="N3" s="14" t="s">
        <v>152</v>
      </c>
      <c r="P3" s="13"/>
    </row>
    <row r="4" spans="1:17" x14ac:dyDescent="0.25">
      <c r="A4" s="13" t="s">
        <v>126</v>
      </c>
      <c r="B4" s="14">
        <v>1</v>
      </c>
      <c r="D4" s="13" t="s">
        <v>79</v>
      </c>
      <c r="E4" s="15">
        <v>118.23333333333332</v>
      </c>
      <c r="G4" s="13" t="s">
        <v>121</v>
      </c>
      <c r="H4" s="14">
        <v>1</v>
      </c>
      <c r="J4" s="13" t="s">
        <v>80</v>
      </c>
      <c r="K4" s="14">
        <v>10</v>
      </c>
      <c r="L4" s="15">
        <v>26.45</v>
      </c>
      <c r="M4" s="13" t="s">
        <v>141</v>
      </c>
      <c r="N4" s="14">
        <v>101</v>
      </c>
      <c r="Q4" s="14"/>
    </row>
    <row r="5" spans="1:17" x14ac:dyDescent="0.25">
      <c r="A5" s="13" t="s">
        <v>119</v>
      </c>
      <c r="B5" s="14">
        <v>1</v>
      </c>
      <c r="D5" s="13" t="s">
        <v>151</v>
      </c>
      <c r="E5" s="15">
        <v>118.23333333333332</v>
      </c>
      <c r="G5" s="13" t="s">
        <v>28</v>
      </c>
      <c r="H5" s="14">
        <v>5</v>
      </c>
      <c r="J5" s="13" t="s">
        <v>151</v>
      </c>
      <c r="K5" s="14">
        <v>10</v>
      </c>
      <c r="L5" s="15">
        <v>26.45</v>
      </c>
      <c r="M5" s="13" t="s">
        <v>143</v>
      </c>
      <c r="N5" s="14">
        <v>37</v>
      </c>
      <c r="P5" s="13"/>
      <c r="Q5" s="18"/>
    </row>
    <row r="6" spans="1:17" x14ac:dyDescent="0.25">
      <c r="A6" s="13" t="s">
        <v>31</v>
      </c>
      <c r="B6" s="14">
        <v>2</v>
      </c>
      <c r="E6"/>
      <c r="G6" s="13" t="s">
        <v>48</v>
      </c>
      <c r="H6" s="14">
        <v>6</v>
      </c>
      <c r="M6" s="13" t="s">
        <v>148</v>
      </c>
      <c r="N6" s="14">
        <v>24</v>
      </c>
      <c r="P6" s="13"/>
      <c r="Q6" s="18"/>
    </row>
    <row r="7" spans="1:17" x14ac:dyDescent="0.25">
      <c r="A7" s="13" t="s">
        <v>26</v>
      </c>
      <c r="B7" s="14">
        <v>2</v>
      </c>
      <c r="E7"/>
      <c r="G7" s="13" t="s">
        <v>72</v>
      </c>
      <c r="H7" s="14">
        <v>7</v>
      </c>
      <c r="M7" s="13" t="s">
        <v>151</v>
      </c>
      <c r="N7" s="14">
        <v>162</v>
      </c>
      <c r="P7" s="13"/>
      <c r="Q7" s="18"/>
    </row>
    <row r="8" spans="1:17" x14ac:dyDescent="0.25">
      <c r="A8" s="13" t="s">
        <v>110</v>
      </c>
      <c r="B8" s="14">
        <v>3</v>
      </c>
      <c r="E8"/>
      <c r="G8" s="13" t="s">
        <v>53</v>
      </c>
      <c r="H8" s="14">
        <v>7</v>
      </c>
      <c r="P8" s="13"/>
      <c r="Q8" s="18"/>
    </row>
    <row r="9" spans="1:17" x14ac:dyDescent="0.25">
      <c r="A9" s="13" t="s">
        <v>106</v>
      </c>
      <c r="B9" s="14">
        <v>4</v>
      </c>
      <c r="E9"/>
      <c r="G9" s="13" t="s">
        <v>43</v>
      </c>
      <c r="H9" s="14">
        <v>7</v>
      </c>
      <c r="P9" s="13"/>
      <c r="Q9" s="18"/>
    </row>
    <row r="10" spans="1:17" x14ac:dyDescent="0.25">
      <c r="A10" s="13" t="s">
        <v>129</v>
      </c>
      <c r="B10" s="14">
        <v>4</v>
      </c>
      <c r="E10"/>
      <c r="G10" s="13" t="s">
        <v>116</v>
      </c>
      <c r="H10" s="14">
        <v>11</v>
      </c>
      <c r="M10" s="13" t="s">
        <v>169</v>
      </c>
      <c r="P10" s="13"/>
      <c r="Q10" s="18"/>
    </row>
    <row r="11" spans="1:17" x14ac:dyDescent="0.25">
      <c r="A11" s="13" t="s">
        <v>114</v>
      </c>
      <c r="B11" s="14">
        <v>6</v>
      </c>
      <c r="E11"/>
      <c r="G11" s="13" t="s">
        <v>14</v>
      </c>
      <c r="H11" s="14">
        <v>12</v>
      </c>
      <c r="J11" s="20"/>
      <c r="K11" s="15"/>
      <c r="M11" s="12" t="s">
        <v>150</v>
      </c>
      <c r="N11" s="14" t="s">
        <v>166</v>
      </c>
      <c r="P11" s="13"/>
      <c r="Q11" s="18"/>
    </row>
    <row r="12" spans="1:17" x14ac:dyDescent="0.25">
      <c r="A12" s="13" t="s">
        <v>46</v>
      </c>
      <c r="B12" s="14">
        <v>6</v>
      </c>
      <c r="E12"/>
      <c r="G12" s="13" t="s">
        <v>81</v>
      </c>
      <c r="H12" s="14">
        <v>20</v>
      </c>
      <c r="J12" s="15"/>
      <c r="K12" s="15"/>
      <c r="M12" s="13" t="s">
        <v>163</v>
      </c>
      <c r="N12" s="14">
        <v>59</v>
      </c>
      <c r="P12" s="13"/>
      <c r="Q12" s="18"/>
    </row>
    <row r="13" spans="1:17" x14ac:dyDescent="0.25">
      <c r="A13" s="13" t="s">
        <v>70</v>
      </c>
      <c r="B13" s="14">
        <v>7</v>
      </c>
      <c r="E13"/>
      <c r="G13" s="13" t="s">
        <v>10</v>
      </c>
      <c r="H13" s="14">
        <v>23</v>
      </c>
      <c r="J13" s="20"/>
      <c r="K13" s="15"/>
      <c r="M13" s="13" t="s">
        <v>164</v>
      </c>
      <c r="N13" s="14">
        <v>53</v>
      </c>
      <c r="P13" s="13"/>
      <c r="Q13" s="18"/>
    </row>
    <row r="14" spans="1:17" x14ac:dyDescent="0.25">
      <c r="A14" s="13" t="s">
        <v>36</v>
      </c>
      <c r="B14" s="14">
        <v>7</v>
      </c>
      <c r="E14"/>
      <c r="G14" s="13" t="s">
        <v>33</v>
      </c>
      <c r="H14" s="14">
        <v>26</v>
      </c>
      <c r="J14" s="20"/>
      <c r="K14" s="15"/>
      <c r="M14" s="13" t="s">
        <v>165</v>
      </c>
      <c r="N14" s="14">
        <v>47</v>
      </c>
      <c r="P14" s="13"/>
      <c r="Q14" s="18"/>
    </row>
    <row r="15" spans="1:17" x14ac:dyDescent="0.25">
      <c r="A15" s="13" t="s">
        <v>41</v>
      </c>
      <c r="B15" s="14">
        <v>7</v>
      </c>
      <c r="E15"/>
      <c r="G15" s="13" t="s">
        <v>38</v>
      </c>
      <c r="H15" s="14">
        <v>35</v>
      </c>
      <c r="J15" s="20"/>
      <c r="K15" s="15"/>
      <c r="M15" s="13" t="s">
        <v>162</v>
      </c>
      <c r="N15" s="14">
        <v>3</v>
      </c>
      <c r="P15" s="13"/>
      <c r="Q15" s="18"/>
    </row>
    <row r="16" spans="1:17" x14ac:dyDescent="0.25">
      <c r="A16" s="13" t="s">
        <v>153</v>
      </c>
      <c r="B16" s="14">
        <v>7</v>
      </c>
      <c r="E16"/>
      <c r="G16" s="13" t="s">
        <v>151</v>
      </c>
      <c r="H16" s="14">
        <v>160</v>
      </c>
      <c r="J16" s="20"/>
      <c r="K16" s="15"/>
      <c r="M16" s="13" t="s">
        <v>151</v>
      </c>
      <c r="N16" s="14">
        <v>162</v>
      </c>
      <c r="P16" s="13"/>
      <c r="Q16" s="18"/>
    </row>
    <row r="17" spans="1:17" x14ac:dyDescent="0.25">
      <c r="A17" s="13" t="s">
        <v>19</v>
      </c>
      <c r="B17" s="14">
        <v>9</v>
      </c>
      <c r="E17"/>
      <c r="H17"/>
      <c r="J17" s="20"/>
      <c r="K17" s="15"/>
      <c r="P17" s="13"/>
      <c r="Q17" s="18"/>
    </row>
    <row r="18" spans="1:17" x14ac:dyDescent="0.25">
      <c r="A18" s="13" t="s">
        <v>12</v>
      </c>
      <c r="B18" s="14">
        <v>12</v>
      </c>
      <c r="E18"/>
      <c r="J18" s="20"/>
      <c r="K18" s="15"/>
      <c r="P18" s="13"/>
      <c r="Q18" s="18"/>
    </row>
    <row r="19" spans="1:17" x14ac:dyDescent="0.25">
      <c r="A19" s="13" t="s">
        <v>8</v>
      </c>
      <c r="B19" s="14">
        <v>14</v>
      </c>
      <c r="E19"/>
      <c r="J19" s="20"/>
      <c r="K19" s="15"/>
    </row>
    <row r="20" spans="1:17" x14ac:dyDescent="0.25">
      <c r="A20" s="13" t="s">
        <v>56</v>
      </c>
      <c r="B20" s="14">
        <v>28</v>
      </c>
      <c r="E20"/>
      <c r="J20" s="20"/>
      <c r="K20" s="15"/>
      <c r="M20" s="13" t="s">
        <v>170</v>
      </c>
    </row>
    <row r="21" spans="1:17" x14ac:dyDescent="0.25">
      <c r="A21" s="13" t="s">
        <v>79</v>
      </c>
      <c r="B21" s="14">
        <v>40</v>
      </c>
      <c r="E21"/>
      <c r="J21" s="20"/>
      <c r="K21" s="15"/>
      <c r="M21" s="12" t="s">
        <v>150</v>
      </c>
      <c r="N21" s="14" t="s">
        <v>152</v>
      </c>
    </row>
    <row r="22" spans="1:17" x14ac:dyDescent="0.25">
      <c r="A22" s="13" t="s">
        <v>151</v>
      </c>
      <c r="B22" s="14">
        <v>160</v>
      </c>
      <c r="E22"/>
      <c r="J22" s="20"/>
      <c r="K22" s="15"/>
      <c r="M22" s="17">
        <v>46028</v>
      </c>
      <c r="N22" s="14">
        <v>20</v>
      </c>
    </row>
    <row r="23" spans="1:17" x14ac:dyDescent="0.25">
      <c r="J23" s="20"/>
      <c r="K23" s="15"/>
      <c r="M23" s="17">
        <v>46046</v>
      </c>
      <c r="N23" s="14">
        <v>18</v>
      </c>
    </row>
    <row r="24" spans="1:17" x14ac:dyDescent="0.25">
      <c r="J24" s="20"/>
      <c r="K24" s="15"/>
      <c r="M24" s="17">
        <v>46042</v>
      </c>
      <c r="N24" s="14">
        <v>11</v>
      </c>
    </row>
    <row r="25" spans="1:17" x14ac:dyDescent="0.25">
      <c r="J25" s="20"/>
      <c r="K25" s="15"/>
      <c r="M25" s="13" t="s">
        <v>151</v>
      </c>
      <c r="N25" s="14">
        <v>49</v>
      </c>
    </row>
    <row r="26" spans="1:17" x14ac:dyDescent="0.25">
      <c r="D26" s="13"/>
      <c r="J26" s="20"/>
      <c r="K26" s="15"/>
    </row>
    <row r="27" spans="1:17" x14ac:dyDescent="0.25">
      <c r="D27" s="13"/>
      <c r="J27" s="20"/>
      <c r="K27" s="15"/>
    </row>
    <row r="28" spans="1:17" x14ac:dyDescent="0.25">
      <c r="D28" s="13"/>
      <c r="J28" s="20"/>
      <c r="K28" s="15"/>
    </row>
    <row r="29" spans="1:17" x14ac:dyDescent="0.25">
      <c r="D29" s="13"/>
      <c r="J29" s="20"/>
      <c r="K29" s="15"/>
    </row>
    <row r="30" spans="1:17" x14ac:dyDescent="0.25">
      <c r="D30" s="13"/>
      <c r="J30" s="20"/>
      <c r="K30" s="15"/>
    </row>
    <row r="31" spans="1:17" x14ac:dyDescent="0.25">
      <c r="D31" s="13"/>
      <c r="J31" s="20"/>
      <c r="K31" s="15"/>
    </row>
    <row r="32" spans="1:17" x14ac:dyDescent="0.25">
      <c r="D32" s="13"/>
      <c r="J32" s="20"/>
      <c r="K32" s="15"/>
    </row>
    <row r="33" spans="4:11" x14ac:dyDescent="0.25">
      <c r="D33" s="13"/>
      <c r="J33" s="20"/>
      <c r="K33" s="15"/>
    </row>
    <row r="34" spans="4:11" x14ac:dyDescent="0.25">
      <c r="D34" s="13"/>
      <c r="J34" s="20"/>
      <c r="K34" s="15"/>
    </row>
    <row r="35" spans="4:11" x14ac:dyDescent="0.25">
      <c r="D35" s="13"/>
      <c r="J35" s="20"/>
      <c r="K35" s="15"/>
    </row>
    <row r="36" spans="4:11" x14ac:dyDescent="0.25">
      <c r="D36" s="13"/>
      <c r="J36" s="20"/>
      <c r="K36" s="15"/>
    </row>
    <row r="37" spans="4:11" x14ac:dyDescent="0.25">
      <c r="D37" s="13"/>
      <c r="J37" s="20"/>
      <c r="K37" s="15"/>
    </row>
    <row r="38" spans="4:11" x14ac:dyDescent="0.25">
      <c r="D38" s="13"/>
      <c r="J38" s="20"/>
      <c r="K38" s="15"/>
    </row>
    <row r="39" spans="4:11" x14ac:dyDescent="0.25">
      <c r="D39" s="13"/>
      <c r="J39" s="20"/>
      <c r="K39" s="15"/>
    </row>
    <row r="40" spans="4:11" x14ac:dyDescent="0.25">
      <c r="D40" s="13"/>
      <c r="J40" s="20"/>
      <c r="K40" s="15"/>
    </row>
    <row r="41" spans="4:11" x14ac:dyDescent="0.25">
      <c r="D41" s="13"/>
      <c r="J41" s="20"/>
      <c r="K41" s="15"/>
    </row>
    <row r="42" spans="4:11" x14ac:dyDescent="0.25">
      <c r="D42" s="13"/>
      <c r="J42" s="20"/>
      <c r="K42" s="15"/>
    </row>
    <row r="43" spans="4:11" x14ac:dyDescent="0.25">
      <c r="D43" s="13"/>
      <c r="J43" s="20"/>
      <c r="K43" s="15"/>
    </row>
    <row r="44" spans="4:11" x14ac:dyDescent="0.25">
      <c r="D44" s="13"/>
      <c r="J44" s="20"/>
      <c r="K44" s="15"/>
    </row>
    <row r="45" spans="4:11" x14ac:dyDescent="0.25">
      <c r="J45" s="20"/>
      <c r="K45" s="15"/>
    </row>
    <row r="46" spans="4:11" x14ac:dyDescent="0.25">
      <c r="J46" s="20"/>
      <c r="K46" s="15"/>
    </row>
    <row r="47" spans="4:11" x14ac:dyDescent="0.25">
      <c r="J47" s="20"/>
      <c r="K47" s="15"/>
    </row>
    <row r="48" spans="4:11" x14ac:dyDescent="0.25">
      <c r="J48" s="20"/>
      <c r="K48" s="15"/>
    </row>
    <row r="49" spans="10:11" x14ac:dyDescent="0.25">
      <c r="J49" s="20"/>
      <c r="K49" s="15"/>
    </row>
    <row r="50" spans="10:11" x14ac:dyDescent="0.25">
      <c r="J50" s="20"/>
      <c r="K50" s="15"/>
    </row>
    <row r="51" spans="10:11" x14ac:dyDescent="0.25">
      <c r="J51" s="20"/>
      <c r="K51" s="15"/>
    </row>
  </sheetData>
  <pageMargins left="0.511811024" right="0.511811024" top="0.78740157499999996" bottom="0.78740157499999996" header="0.31496062000000002" footer="0.31496062000000002"/>
  <pageSetup paperSize="9" orientation="portrait" r:id="rId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topLeftCell="B1" zoomScale="20" zoomScaleNormal="20" workbookViewId="0">
      <selection activeCell="BY20" sqref="BY20"/>
    </sheetView>
  </sheetViews>
  <sheetFormatPr defaultRowHeight="15" x14ac:dyDescent="0.25"/>
  <cols>
    <col min="1" max="16384" width="9.140625" style="19"/>
  </cols>
  <sheetData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Plan4</vt:lpstr>
      <vt:lpstr>dados1_musicas</vt:lpstr>
      <vt:lpstr>dados2_datas_hrs</vt:lpstr>
      <vt:lpstr>análises</vt:lpstr>
      <vt:lpstr>dashboard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Computador</dc:creator>
  <cp:lastModifiedBy>Computador</cp:lastModifiedBy>
  <dcterms:created xsi:type="dcterms:W3CDTF">2026-10-27T17:12:35Z</dcterms:created>
  <dcterms:modified xsi:type="dcterms:W3CDTF">2026-10-28T05:17:26Z</dcterms:modified>
</cp:coreProperties>
</file>